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udongrong/Desktop/dspy/fine-tuning/"/>
    </mc:Choice>
  </mc:AlternateContent>
  <xr:revisionPtr revIDLastSave="0" documentId="13_ncr:1_{581501C3-D49A-A844-92C8-6AF967DB5188}" xr6:coauthVersionLast="47" xr6:coauthVersionMax="47" xr10:uidLastSave="{00000000-0000-0000-0000-000000000000}"/>
  <bookViews>
    <workbookView xWindow="0" yWindow="500" windowWidth="35840" windowHeight="20400" activeTab="8" xr2:uid="{DD286A63-567F-CC4B-A298-265AED51F567}"/>
  </bookViews>
  <sheets>
    <sheet name="evaluation" sheetId="1" r:id="rId1"/>
    <sheet name="Sheet1" sheetId="2" r:id="rId2"/>
    <sheet name="10 DOIs &lt; 60%" sheetId="5" r:id="rId3"/>
    <sheet name="random   80, 90)" sheetId="6" r:id="rId4"/>
    <sheet name="random  60,80)" sheetId="7" r:id="rId5"/>
    <sheet name="random ==90" sheetId="8" r:id="rId6"/>
    <sheet name="Sheet2" sheetId="3" r:id="rId7"/>
    <sheet name="Sheet3" sheetId="4" r:id="rId8"/>
    <sheet name="combined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3" i="1" l="1"/>
  <c r="K273" i="1"/>
  <c r="K272" i="1"/>
  <c r="Z273" i="1"/>
  <c r="Y273" i="1"/>
  <c r="X273" i="1"/>
  <c r="W273" i="1"/>
  <c r="Q273" i="1"/>
  <c r="T273" i="1" s="1"/>
  <c r="P273" i="1"/>
  <c r="O273" i="1"/>
  <c r="N273" i="1"/>
  <c r="F273" i="1"/>
  <c r="G273" i="1"/>
  <c r="H273" i="1"/>
  <c r="E273" i="1"/>
  <c r="L273" i="1" s="1"/>
  <c r="I4" i="1"/>
  <c r="J4" i="1"/>
  <c r="L4" i="1" s="1"/>
  <c r="K4" i="1"/>
  <c r="I5" i="1"/>
  <c r="J5" i="1"/>
  <c r="K5" i="1"/>
  <c r="L5" i="1"/>
  <c r="I6" i="1"/>
  <c r="J6" i="1"/>
  <c r="L6" i="1" s="1"/>
  <c r="K6" i="1"/>
  <c r="I7" i="1"/>
  <c r="J7" i="1"/>
  <c r="K7" i="1"/>
  <c r="L7" i="1"/>
  <c r="I8" i="1"/>
  <c r="J8" i="1"/>
  <c r="L8" i="1" s="1"/>
  <c r="K8" i="1"/>
  <c r="I9" i="1"/>
  <c r="J9" i="1"/>
  <c r="K9" i="1"/>
  <c r="L9" i="1" s="1"/>
  <c r="I10" i="1"/>
  <c r="J10" i="1"/>
  <c r="L10" i="1" s="1"/>
  <c r="K10" i="1"/>
  <c r="I11" i="1"/>
  <c r="J11" i="1"/>
  <c r="K11" i="1"/>
  <c r="L11" i="1"/>
  <c r="I12" i="1"/>
  <c r="J12" i="1"/>
  <c r="L12" i="1" s="1"/>
  <c r="K12" i="1"/>
  <c r="I13" i="1"/>
  <c r="J13" i="1"/>
  <c r="K13" i="1"/>
  <c r="L13" i="1"/>
  <c r="I14" i="1"/>
  <c r="J14" i="1"/>
  <c r="L14" i="1" s="1"/>
  <c r="K14" i="1"/>
  <c r="I15" i="1"/>
  <c r="J15" i="1"/>
  <c r="K15" i="1"/>
  <c r="L15" i="1"/>
  <c r="I16" i="1"/>
  <c r="J16" i="1"/>
  <c r="L16" i="1" s="1"/>
  <c r="K16" i="1"/>
  <c r="I17" i="1"/>
  <c r="J17" i="1"/>
  <c r="K17" i="1"/>
  <c r="L17" i="1"/>
  <c r="I18" i="1"/>
  <c r="J18" i="1"/>
  <c r="L18" i="1" s="1"/>
  <c r="K18" i="1"/>
  <c r="I19" i="1"/>
  <c r="J19" i="1"/>
  <c r="K19" i="1"/>
  <c r="L19" i="1"/>
  <c r="I20" i="1"/>
  <c r="J20" i="1"/>
  <c r="L20" i="1" s="1"/>
  <c r="K20" i="1"/>
  <c r="I21" i="1"/>
  <c r="J21" i="1"/>
  <c r="K21" i="1"/>
  <c r="L21" i="1"/>
  <c r="I22" i="1"/>
  <c r="J22" i="1"/>
  <c r="L22" i="1" s="1"/>
  <c r="K22" i="1"/>
  <c r="I23" i="1"/>
  <c r="J23" i="1"/>
  <c r="K23" i="1"/>
  <c r="L23" i="1"/>
  <c r="I24" i="1"/>
  <c r="J24" i="1"/>
  <c r="L24" i="1" s="1"/>
  <c r="K24" i="1"/>
  <c r="I25" i="1"/>
  <c r="J25" i="1"/>
  <c r="K25" i="1"/>
  <c r="L25" i="1"/>
  <c r="I26" i="1"/>
  <c r="J26" i="1"/>
  <c r="L26" i="1" s="1"/>
  <c r="K26" i="1"/>
  <c r="I27" i="1"/>
  <c r="J27" i="1"/>
  <c r="K27" i="1"/>
  <c r="L27" i="1"/>
  <c r="I28" i="1"/>
  <c r="J28" i="1"/>
  <c r="L28" i="1" s="1"/>
  <c r="K28" i="1"/>
  <c r="I29" i="1"/>
  <c r="J29" i="1"/>
  <c r="K29" i="1"/>
  <c r="L29" i="1"/>
  <c r="I30" i="1"/>
  <c r="J30" i="1"/>
  <c r="L30" i="1" s="1"/>
  <c r="K30" i="1"/>
  <c r="I31" i="1"/>
  <c r="J31" i="1"/>
  <c r="K31" i="1"/>
  <c r="L31" i="1"/>
  <c r="I32" i="1"/>
  <c r="J32" i="1"/>
  <c r="L32" i="1" s="1"/>
  <c r="K32" i="1"/>
  <c r="I33" i="1"/>
  <c r="J33" i="1"/>
  <c r="K33" i="1"/>
  <c r="L33" i="1"/>
  <c r="I34" i="1"/>
  <c r="J34" i="1"/>
  <c r="L34" i="1" s="1"/>
  <c r="K34" i="1"/>
  <c r="I35" i="1"/>
  <c r="J35" i="1"/>
  <c r="K35" i="1"/>
  <c r="L35" i="1"/>
  <c r="I36" i="1"/>
  <c r="J36" i="1"/>
  <c r="L36" i="1" s="1"/>
  <c r="K36" i="1"/>
  <c r="I37" i="1"/>
  <c r="J37" i="1"/>
  <c r="K37" i="1"/>
  <c r="L37" i="1"/>
  <c r="I38" i="1"/>
  <c r="J38" i="1"/>
  <c r="L38" i="1" s="1"/>
  <c r="K38" i="1"/>
  <c r="I39" i="1"/>
  <c r="J39" i="1"/>
  <c r="K39" i="1"/>
  <c r="L39" i="1"/>
  <c r="I40" i="1"/>
  <c r="J40" i="1"/>
  <c r="L40" i="1" s="1"/>
  <c r="K40" i="1"/>
  <c r="I41" i="1"/>
  <c r="J41" i="1"/>
  <c r="K41" i="1"/>
  <c r="L41" i="1"/>
  <c r="I42" i="1"/>
  <c r="J42" i="1"/>
  <c r="L42" i="1" s="1"/>
  <c r="K42" i="1"/>
  <c r="I43" i="1"/>
  <c r="J43" i="1"/>
  <c r="K43" i="1"/>
  <c r="L43" i="1"/>
  <c r="I44" i="1"/>
  <c r="J44" i="1"/>
  <c r="L44" i="1" s="1"/>
  <c r="K44" i="1"/>
  <c r="I45" i="1"/>
  <c r="J45" i="1"/>
  <c r="K45" i="1"/>
  <c r="L45" i="1"/>
  <c r="I46" i="1"/>
  <c r="J46" i="1"/>
  <c r="L46" i="1" s="1"/>
  <c r="K46" i="1"/>
  <c r="I47" i="1"/>
  <c r="J47" i="1"/>
  <c r="K47" i="1"/>
  <c r="L47" i="1"/>
  <c r="I48" i="1"/>
  <c r="J48" i="1"/>
  <c r="L48" i="1" s="1"/>
  <c r="K48" i="1"/>
  <c r="I49" i="1"/>
  <c r="J49" i="1"/>
  <c r="K49" i="1"/>
  <c r="L49" i="1"/>
  <c r="I50" i="1"/>
  <c r="J50" i="1"/>
  <c r="L50" i="1" s="1"/>
  <c r="K50" i="1"/>
  <c r="I51" i="1"/>
  <c r="J51" i="1"/>
  <c r="K51" i="1"/>
  <c r="L51" i="1"/>
  <c r="I52" i="1"/>
  <c r="J52" i="1"/>
  <c r="L52" i="1" s="1"/>
  <c r="K52" i="1"/>
  <c r="I53" i="1"/>
  <c r="J53" i="1"/>
  <c r="K53" i="1"/>
  <c r="L53" i="1"/>
  <c r="I54" i="1"/>
  <c r="J54" i="1"/>
  <c r="L54" i="1" s="1"/>
  <c r="K54" i="1"/>
  <c r="I55" i="1"/>
  <c r="J55" i="1"/>
  <c r="K55" i="1"/>
  <c r="L55" i="1"/>
  <c r="I56" i="1"/>
  <c r="J56" i="1"/>
  <c r="L56" i="1" s="1"/>
  <c r="K56" i="1"/>
  <c r="I57" i="1"/>
  <c r="J57" i="1"/>
  <c r="K57" i="1"/>
  <c r="L57" i="1"/>
  <c r="I58" i="1"/>
  <c r="J58" i="1"/>
  <c r="L58" i="1" s="1"/>
  <c r="K58" i="1"/>
  <c r="I59" i="1"/>
  <c r="J59" i="1"/>
  <c r="K59" i="1"/>
  <c r="L59" i="1"/>
  <c r="I60" i="1"/>
  <c r="J60" i="1"/>
  <c r="L60" i="1" s="1"/>
  <c r="K60" i="1"/>
  <c r="I61" i="1"/>
  <c r="J61" i="1"/>
  <c r="K61" i="1"/>
  <c r="L61" i="1"/>
  <c r="I62" i="1"/>
  <c r="J62" i="1"/>
  <c r="L62" i="1" s="1"/>
  <c r="K62" i="1"/>
  <c r="I63" i="1"/>
  <c r="J63" i="1"/>
  <c r="K63" i="1"/>
  <c r="L63" i="1"/>
  <c r="I64" i="1"/>
  <c r="J64" i="1"/>
  <c r="L64" i="1" s="1"/>
  <c r="K64" i="1"/>
  <c r="I65" i="1"/>
  <c r="J65" i="1"/>
  <c r="K65" i="1"/>
  <c r="L65" i="1"/>
  <c r="I66" i="1"/>
  <c r="J66" i="1"/>
  <c r="L66" i="1" s="1"/>
  <c r="K66" i="1"/>
  <c r="I67" i="1"/>
  <c r="J67" i="1"/>
  <c r="K67" i="1"/>
  <c r="L67" i="1"/>
  <c r="I68" i="1"/>
  <c r="J68" i="1"/>
  <c r="L68" i="1" s="1"/>
  <c r="K68" i="1"/>
  <c r="I69" i="1"/>
  <c r="J69" i="1"/>
  <c r="K69" i="1"/>
  <c r="L69" i="1"/>
  <c r="I70" i="1"/>
  <c r="J70" i="1"/>
  <c r="L70" i="1" s="1"/>
  <c r="K70" i="1"/>
  <c r="I71" i="1"/>
  <c r="J71" i="1"/>
  <c r="K71" i="1"/>
  <c r="L71" i="1"/>
  <c r="I72" i="1"/>
  <c r="J72" i="1"/>
  <c r="L72" i="1" s="1"/>
  <c r="K72" i="1"/>
  <c r="I73" i="1"/>
  <c r="J73" i="1"/>
  <c r="K73" i="1"/>
  <c r="L73" i="1"/>
  <c r="I74" i="1"/>
  <c r="J74" i="1"/>
  <c r="L74" i="1" s="1"/>
  <c r="K74" i="1"/>
  <c r="I75" i="1"/>
  <c r="J75" i="1"/>
  <c r="K75" i="1"/>
  <c r="L75" i="1"/>
  <c r="I76" i="1"/>
  <c r="J76" i="1"/>
  <c r="L76" i="1" s="1"/>
  <c r="K76" i="1"/>
  <c r="I77" i="1"/>
  <c r="J77" i="1"/>
  <c r="K77" i="1"/>
  <c r="L77" i="1"/>
  <c r="I78" i="1"/>
  <c r="J78" i="1"/>
  <c r="K78" i="1"/>
  <c r="I79" i="1"/>
  <c r="J79" i="1"/>
  <c r="K79" i="1"/>
  <c r="L79" i="1"/>
  <c r="I80" i="1"/>
  <c r="J80" i="1"/>
  <c r="K80" i="1"/>
  <c r="I81" i="1"/>
  <c r="J81" i="1"/>
  <c r="K81" i="1"/>
  <c r="L81" i="1"/>
  <c r="I82" i="1"/>
  <c r="J82" i="1"/>
  <c r="L82" i="1" s="1"/>
  <c r="K82" i="1"/>
  <c r="I83" i="1"/>
  <c r="J83" i="1"/>
  <c r="K83" i="1"/>
  <c r="L83" i="1"/>
  <c r="I84" i="1"/>
  <c r="J84" i="1"/>
  <c r="K84" i="1"/>
  <c r="I85" i="1"/>
  <c r="J85" i="1"/>
  <c r="K85" i="1"/>
  <c r="L85" i="1"/>
  <c r="I86" i="1"/>
  <c r="J86" i="1"/>
  <c r="K86" i="1"/>
  <c r="I87" i="1"/>
  <c r="J87" i="1"/>
  <c r="K87" i="1"/>
  <c r="L87" i="1"/>
  <c r="I88" i="1"/>
  <c r="J88" i="1"/>
  <c r="L88" i="1" s="1"/>
  <c r="K88" i="1"/>
  <c r="I89" i="1"/>
  <c r="J89" i="1"/>
  <c r="L89" i="1" s="1"/>
  <c r="K89" i="1"/>
  <c r="I90" i="1"/>
  <c r="J90" i="1"/>
  <c r="K90" i="1"/>
  <c r="I91" i="1"/>
  <c r="J91" i="1"/>
  <c r="L91" i="1" s="1"/>
  <c r="K91" i="1"/>
  <c r="I92" i="1"/>
  <c r="J92" i="1"/>
  <c r="L92" i="1" s="1"/>
  <c r="K92" i="1"/>
  <c r="I93" i="1"/>
  <c r="J93" i="1"/>
  <c r="K93" i="1"/>
  <c r="L93" i="1" s="1"/>
  <c r="I94" i="1"/>
  <c r="J94" i="1"/>
  <c r="K94" i="1"/>
  <c r="I95" i="1"/>
  <c r="J95" i="1"/>
  <c r="L95" i="1" s="1"/>
  <c r="K95" i="1"/>
  <c r="I96" i="1"/>
  <c r="J96" i="1"/>
  <c r="K96" i="1"/>
  <c r="I97" i="1"/>
  <c r="J97" i="1"/>
  <c r="K97" i="1"/>
  <c r="L97" i="1" s="1"/>
  <c r="I98" i="1"/>
  <c r="J98" i="1"/>
  <c r="L98" i="1" s="1"/>
  <c r="K98" i="1"/>
  <c r="I99" i="1"/>
  <c r="J99" i="1"/>
  <c r="K99" i="1"/>
  <c r="L99" i="1"/>
  <c r="I100" i="1"/>
  <c r="J100" i="1"/>
  <c r="K100" i="1"/>
  <c r="I101" i="1"/>
  <c r="J101" i="1"/>
  <c r="L101" i="1" s="1"/>
  <c r="K101" i="1"/>
  <c r="I102" i="1"/>
  <c r="J102" i="1"/>
  <c r="K102" i="1"/>
  <c r="I103" i="1"/>
  <c r="J103" i="1"/>
  <c r="K103" i="1"/>
  <c r="L103" i="1"/>
  <c r="I104" i="1"/>
  <c r="J104" i="1"/>
  <c r="L104" i="1" s="1"/>
  <c r="K104" i="1"/>
  <c r="I105" i="1"/>
  <c r="J105" i="1"/>
  <c r="L105" i="1" s="1"/>
  <c r="K105" i="1"/>
  <c r="I106" i="1"/>
  <c r="J106" i="1"/>
  <c r="K106" i="1"/>
  <c r="I107" i="1"/>
  <c r="J107" i="1"/>
  <c r="L107" i="1" s="1"/>
  <c r="K107" i="1"/>
  <c r="I108" i="1"/>
  <c r="J108" i="1"/>
  <c r="L108" i="1" s="1"/>
  <c r="K108" i="1"/>
  <c r="I109" i="1"/>
  <c r="J109" i="1"/>
  <c r="K109" i="1"/>
  <c r="L109" i="1" s="1"/>
  <c r="I110" i="1"/>
  <c r="J110" i="1"/>
  <c r="K110" i="1"/>
  <c r="I111" i="1"/>
  <c r="J111" i="1"/>
  <c r="L111" i="1" s="1"/>
  <c r="K111" i="1"/>
  <c r="I112" i="1"/>
  <c r="J112" i="1"/>
  <c r="K112" i="1"/>
  <c r="I113" i="1"/>
  <c r="J113" i="1"/>
  <c r="K113" i="1"/>
  <c r="L113" i="1" s="1"/>
  <c r="I114" i="1"/>
  <c r="J114" i="1"/>
  <c r="L114" i="1" s="1"/>
  <c r="K114" i="1"/>
  <c r="I115" i="1"/>
  <c r="J115" i="1"/>
  <c r="K115" i="1"/>
  <c r="L115" i="1"/>
  <c r="I116" i="1"/>
  <c r="J116" i="1"/>
  <c r="K116" i="1"/>
  <c r="I117" i="1"/>
  <c r="J117" i="1"/>
  <c r="K117" i="1"/>
  <c r="L117" i="1" s="1"/>
  <c r="I118" i="1"/>
  <c r="J118" i="1"/>
  <c r="K118" i="1"/>
  <c r="I119" i="1"/>
  <c r="J119" i="1"/>
  <c r="K119" i="1"/>
  <c r="L119" i="1"/>
  <c r="I120" i="1"/>
  <c r="J120" i="1"/>
  <c r="L120" i="1" s="1"/>
  <c r="K120" i="1"/>
  <c r="I121" i="1"/>
  <c r="J121" i="1"/>
  <c r="L121" i="1" s="1"/>
  <c r="K121" i="1"/>
  <c r="I122" i="1"/>
  <c r="J122" i="1"/>
  <c r="K122" i="1"/>
  <c r="I123" i="1"/>
  <c r="J123" i="1"/>
  <c r="L123" i="1" s="1"/>
  <c r="K123" i="1"/>
  <c r="I124" i="1"/>
  <c r="J124" i="1"/>
  <c r="L124" i="1" s="1"/>
  <c r="K124" i="1"/>
  <c r="I125" i="1"/>
  <c r="J125" i="1"/>
  <c r="K125" i="1"/>
  <c r="L125" i="1"/>
  <c r="I126" i="1"/>
  <c r="J126" i="1"/>
  <c r="K126" i="1"/>
  <c r="I127" i="1"/>
  <c r="J127" i="1"/>
  <c r="L127" i="1" s="1"/>
  <c r="K127" i="1"/>
  <c r="I128" i="1"/>
  <c r="J128" i="1"/>
  <c r="K128" i="1"/>
  <c r="I129" i="1"/>
  <c r="J129" i="1"/>
  <c r="K129" i="1"/>
  <c r="L129" i="1" s="1"/>
  <c r="I130" i="1"/>
  <c r="J130" i="1"/>
  <c r="L130" i="1" s="1"/>
  <c r="K130" i="1"/>
  <c r="I131" i="1"/>
  <c r="J131" i="1"/>
  <c r="K131" i="1"/>
  <c r="L131" i="1"/>
  <c r="I132" i="1"/>
  <c r="J132" i="1"/>
  <c r="K132" i="1"/>
  <c r="I133" i="1"/>
  <c r="J133" i="1"/>
  <c r="K133" i="1"/>
  <c r="L133" i="1" s="1"/>
  <c r="I134" i="1"/>
  <c r="J134" i="1"/>
  <c r="K134" i="1"/>
  <c r="I135" i="1"/>
  <c r="J135" i="1"/>
  <c r="K135" i="1"/>
  <c r="L135" i="1"/>
  <c r="I136" i="1"/>
  <c r="J136" i="1"/>
  <c r="L136" i="1" s="1"/>
  <c r="K136" i="1"/>
  <c r="I137" i="1"/>
  <c r="J137" i="1"/>
  <c r="L137" i="1" s="1"/>
  <c r="K137" i="1"/>
  <c r="I138" i="1"/>
  <c r="J138" i="1"/>
  <c r="K138" i="1"/>
  <c r="I139" i="1"/>
  <c r="J139" i="1"/>
  <c r="L139" i="1" s="1"/>
  <c r="K139" i="1"/>
  <c r="I140" i="1"/>
  <c r="J140" i="1"/>
  <c r="L140" i="1" s="1"/>
  <c r="K140" i="1"/>
  <c r="I141" i="1"/>
  <c r="J141" i="1"/>
  <c r="K141" i="1"/>
  <c r="L141" i="1"/>
  <c r="I142" i="1"/>
  <c r="J142" i="1"/>
  <c r="K142" i="1"/>
  <c r="I143" i="1"/>
  <c r="J143" i="1"/>
  <c r="L143" i="1" s="1"/>
  <c r="K143" i="1"/>
  <c r="I144" i="1"/>
  <c r="J144" i="1"/>
  <c r="K144" i="1"/>
  <c r="I145" i="1"/>
  <c r="J145" i="1"/>
  <c r="K145" i="1"/>
  <c r="L145" i="1" s="1"/>
  <c r="I146" i="1"/>
  <c r="J146" i="1"/>
  <c r="L146" i="1" s="1"/>
  <c r="K146" i="1"/>
  <c r="I147" i="1"/>
  <c r="J147" i="1"/>
  <c r="K147" i="1"/>
  <c r="L147" i="1"/>
  <c r="I148" i="1"/>
  <c r="J148" i="1"/>
  <c r="K148" i="1"/>
  <c r="I149" i="1"/>
  <c r="J149" i="1"/>
  <c r="K149" i="1"/>
  <c r="L149" i="1" s="1"/>
  <c r="I150" i="1"/>
  <c r="J150" i="1"/>
  <c r="K150" i="1"/>
  <c r="I151" i="1"/>
  <c r="J151" i="1"/>
  <c r="K151" i="1"/>
  <c r="L151" i="1"/>
  <c r="I152" i="1"/>
  <c r="J152" i="1"/>
  <c r="L152" i="1" s="1"/>
  <c r="K152" i="1"/>
  <c r="I153" i="1"/>
  <c r="J153" i="1"/>
  <c r="L153" i="1" s="1"/>
  <c r="K153" i="1"/>
  <c r="I154" i="1"/>
  <c r="J154" i="1"/>
  <c r="K154" i="1"/>
  <c r="I155" i="1"/>
  <c r="J155" i="1"/>
  <c r="L155" i="1" s="1"/>
  <c r="K155" i="1"/>
  <c r="I156" i="1"/>
  <c r="J156" i="1"/>
  <c r="L156" i="1" s="1"/>
  <c r="K156" i="1"/>
  <c r="I157" i="1"/>
  <c r="J157" i="1"/>
  <c r="K157" i="1"/>
  <c r="L157" i="1"/>
  <c r="I158" i="1"/>
  <c r="J158" i="1"/>
  <c r="K158" i="1"/>
  <c r="I159" i="1"/>
  <c r="J159" i="1"/>
  <c r="L159" i="1" s="1"/>
  <c r="K159" i="1"/>
  <c r="I160" i="1"/>
  <c r="J160" i="1"/>
  <c r="K160" i="1"/>
  <c r="I161" i="1"/>
  <c r="J161" i="1"/>
  <c r="K161" i="1"/>
  <c r="L161" i="1" s="1"/>
  <c r="I162" i="1"/>
  <c r="J162" i="1"/>
  <c r="L162" i="1" s="1"/>
  <c r="K162" i="1"/>
  <c r="I163" i="1"/>
  <c r="J163" i="1"/>
  <c r="K163" i="1"/>
  <c r="L163" i="1"/>
  <c r="I164" i="1"/>
  <c r="J164" i="1"/>
  <c r="K164" i="1"/>
  <c r="I165" i="1"/>
  <c r="J165" i="1"/>
  <c r="L165" i="1" s="1"/>
  <c r="K165" i="1"/>
  <c r="I166" i="1"/>
  <c r="J166" i="1"/>
  <c r="K166" i="1"/>
  <c r="I167" i="1"/>
  <c r="J167" i="1"/>
  <c r="K167" i="1"/>
  <c r="L167" i="1"/>
  <c r="I168" i="1"/>
  <c r="J168" i="1"/>
  <c r="L168" i="1" s="1"/>
  <c r="K168" i="1"/>
  <c r="I169" i="1"/>
  <c r="J169" i="1"/>
  <c r="L169" i="1" s="1"/>
  <c r="K169" i="1"/>
  <c r="I170" i="1"/>
  <c r="J170" i="1"/>
  <c r="K170" i="1"/>
  <c r="I171" i="1"/>
  <c r="J171" i="1"/>
  <c r="L171" i="1" s="1"/>
  <c r="K171" i="1"/>
  <c r="I172" i="1"/>
  <c r="J172" i="1"/>
  <c r="L172" i="1" s="1"/>
  <c r="K172" i="1"/>
  <c r="I173" i="1"/>
  <c r="J173" i="1"/>
  <c r="K173" i="1"/>
  <c r="L173" i="1"/>
  <c r="I174" i="1"/>
  <c r="J174" i="1"/>
  <c r="K174" i="1"/>
  <c r="L174" i="1" s="1"/>
  <c r="I175" i="1"/>
  <c r="J175" i="1"/>
  <c r="K175" i="1"/>
  <c r="L175" i="1"/>
  <c r="I176" i="1"/>
  <c r="J176" i="1"/>
  <c r="K176" i="1"/>
  <c r="L176" i="1" s="1"/>
  <c r="I177" i="1"/>
  <c r="J177" i="1"/>
  <c r="K177" i="1"/>
  <c r="L177" i="1"/>
  <c r="I178" i="1"/>
  <c r="J178" i="1"/>
  <c r="L178" i="1" s="1"/>
  <c r="K178" i="1"/>
  <c r="I179" i="1"/>
  <c r="J179" i="1"/>
  <c r="K179" i="1"/>
  <c r="L179" i="1"/>
  <c r="I180" i="1"/>
  <c r="J180" i="1"/>
  <c r="L180" i="1" s="1"/>
  <c r="K180" i="1"/>
  <c r="I181" i="1"/>
  <c r="J181" i="1"/>
  <c r="K181" i="1"/>
  <c r="L181" i="1"/>
  <c r="I182" i="1"/>
  <c r="J182" i="1"/>
  <c r="L182" i="1" s="1"/>
  <c r="K182" i="1"/>
  <c r="I183" i="1"/>
  <c r="J183" i="1"/>
  <c r="K183" i="1"/>
  <c r="L183" i="1"/>
  <c r="I184" i="1"/>
  <c r="J184" i="1"/>
  <c r="L184" i="1" s="1"/>
  <c r="K184" i="1"/>
  <c r="I185" i="1"/>
  <c r="J185" i="1"/>
  <c r="K185" i="1"/>
  <c r="L185" i="1"/>
  <c r="I186" i="1"/>
  <c r="J186" i="1"/>
  <c r="L186" i="1" s="1"/>
  <c r="K186" i="1"/>
  <c r="I187" i="1"/>
  <c r="J187" i="1"/>
  <c r="K187" i="1"/>
  <c r="L187" i="1"/>
  <c r="I188" i="1"/>
  <c r="J188" i="1"/>
  <c r="L188" i="1" s="1"/>
  <c r="K188" i="1"/>
  <c r="I189" i="1"/>
  <c r="J189" i="1"/>
  <c r="K189" i="1"/>
  <c r="L189" i="1"/>
  <c r="I190" i="1"/>
  <c r="J190" i="1"/>
  <c r="L190" i="1" s="1"/>
  <c r="K190" i="1"/>
  <c r="I191" i="1"/>
  <c r="J191" i="1"/>
  <c r="K191" i="1"/>
  <c r="L191" i="1"/>
  <c r="I192" i="1"/>
  <c r="J192" i="1"/>
  <c r="L192" i="1" s="1"/>
  <c r="K192" i="1"/>
  <c r="I193" i="1"/>
  <c r="J193" i="1"/>
  <c r="K193" i="1"/>
  <c r="L193" i="1"/>
  <c r="I194" i="1"/>
  <c r="J194" i="1"/>
  <c r="L194" i="1" s="1"/>
  <c r="K194" i="1"/>
  <c r="I195" i="1"/>
  <c r="J195" i="1"/>
  <c r="K195" i="1"/>
  <c r="L195" i="1"/>
  <c r="I196" i="1"/>
  <c r="J196" i="1"/>
  <c r="L196" i="1" s="1"/>
  <c r="K196" i="1"/>
  <c r="I197" i="1"/>
  <c r="J197" i="1"/>
  <c r="K197" i="1"/>
  <c r="L197" i="1"/>
  <c r="I198" i="1"/>
  <c r="J198" i="1"/>
  <c r="L198" i="1" s="1"/>
  <c r="K198" i="1"/>
  <c r="I199" i="1"/>
  <c r="J199" i="1"/>
  <c r="K199" i="1"/>
  <c r="L199" i="1"/>
  <c r="I200" i="1"/>
  <c r="J200" i="1"/>
  <c r="L200" i="1" s="1"/>
  <c r="K200" i="1"/>
  <c r="I201" i="1"/>
  <c r="J201" i="1"/>
  <c r="K201" i="1"/>
  <c r="L201" i="1"/>
  <c r="I202" i="1"/>
  <c r="J202" i="1"/>
  <c r="L202" i="1" s="1"/>
  <c r="K202" i="1"/>
  <c r="I203" i="1"/>
  <c r="J203" i="1"/>
  <c r="K203" i="1"/>
  <c r="L203" i="1"/>
  <c r="I204" i="1"/>
  <c r="J204" i="1"/>
  <c r="L204" i="1" s="1"/>
  <c r="K204" i="1"/>
  <c r="I205" i="1"/>
  <c r="J205" i="1"/>
  <c r="K205" i="1"/>
  <c r="L205" i="1"/>
  <c r="I206" i="1"/>
  <c r="J206" i="1"/>
  <c r="L206" i="1" s="1"/>
  <c r="K206" i="1"/>
  <c r="I207" i="1"/>
  <c r="J207" i="1"/>
  <c r="K207" i="1"/>
  <c r="L207" i="1"/>
  <c r="I208" i="1"/>
  <c r="J208" i="1"/>
  <c r="L208" i="1" s="1"/>
  <c r="K208" i="1"/>
  <c r="I209" i="1"/>
  <c r="J209" i="1"/>
  <c r="K209" i="1"/>
  <c r="L209" i="1"/>
  <c r="I210" i="1"/>
  <c r="J210" i="1"/>
  <c r="L210" i="1" s="1"/>
  <c r="K210" i="1"/>
  <c r="I211" i="1"/>
  <c r="J211" i="1"/>
  <c r="K211" i="1"/>
  <c r="L211" i="1"/>
  <c r="I212" i="1"/>
  <c r="J212" i="1"/>
  <c r="L212" i="1" s="1"/>
  <c r="K212" i="1"/>
  <c r="I213" i="1"/>
  <c r="J213" i="1"/>
  <c r="K213" i="1"/>
  <c r="L213" i="1"/>
  <c r="I214" i="1"/>
  <c r="J214" i="1"/>
  <c r="L214" i="1" s="1"/>
  <c r="K214" i="1"/>
  <c r="I215" i="1"/>
  <c r="J215" i="1"/>
  <c r="K215" i="1"/>
  <c r="L215" i="1"/>
  <c r="I216" i="1"/>
  <c r="J216" i="1"/>
  <c r="L216" i="1" s="1"/>
  <c r="K216" i="1"/>
  <c r="I217" i="1"/>
  <c r="J217" i="1"/>
  <c r="K217" i="1"/>
  <c r="L217" i="1"/>
  <c r="I218" i="1"/>
  <c r="J218" i="1"/>
  <c r="L218" i="1" s="1"/>
  <c r="K218" i="1"/>
  <c r="I219" i="1"/>
  <c r="J219" i="1"/>
  <c r="K219" i="1"/>
  <c r="L219" i="1"/>
  <c r="I220" i="1"/>
  <c r="J220" i="1"/>
  <c r="L220" i="1" s="1"/>
  <c r="K220" i="1"/>
  <c r="I221" i="1"/>
  <c r="J221" i="1"/>
  <c r="K221" i="1"/>
  <c r="L221" i="1"/>
  <c r="I222" i="1"/>
  <c r="J222" i="1"/>
  <c r="L222" i="1" s="1"/>
  <c r="K222" i="1"/>
  <c r="I223" i="1"/>
  <c r="J223" i="1"/>
  <c r="K223" i="1"/>
  <c r="L223" i="1"/>
  <c r="I224" i="1"/>
  <c r="J224" i="1"/>
  <c r="L224" i="1" s="1"/>
  <c r="K224" i="1"/>
  <c r="I225" i="1"/>
  <c r="J225" i="1"/>
  <c r="K225" i="1"/>
  <c r="L225" i="1"/>
  <c r="I226" i="1"/>
  <c r="J226" i="1"/>
  <c r="L226" i="1" s="1"/>
  <c r="K226" i="1"/>
  <c r="I227" i="1"/>
  <c r="J227" i="1"/>
  <c r="K227" i="1"/>
  <c r="L227" i="1"/>
  <c r="I228" i="1"/>
  <c r="J228" i="1"/>
  <c r="L228" i="1" s="1"/>
  <c r="K228" i="1"/>
  <c r="I229" i="1"/>
  <c r="J229" i="1"/>
  <c r="K229" i="1"/>
  <c r="L229" i="1"/>
  <c r="I230" i="1"/>
  <c r="J230" i="1"/>
  <c r="L230" i="1" s="1"/>
  <c r="K230" i="1"/>
  <c r="I231" i="1"/>
  <c r="J231" i="1"/>
  <c r="K231" i="1"/>
  <c r="L231" i="1"/>
  <c r="I232" i="1"/>
  <c r="J232" i="1"/>
  <c r="L232" i="1" s="1"/>
  <c r="K232" i="1"/>
  <c r="I233" i="1"/>
  <c r="J233" i="1"/>
  <c r="K233" i="1"/>
  <c r="L233" i="1"/>
  <c r="I234" i="1"/>
  <c r="J234" i="1"/>
  <c r="L234" i="1" s="1"/>
  <c r="K234" i="1"/>
  <c r="I235" i="1"/>
  <c r="J235" i="1"/>
  <c r="K235" i="1"/>
  <c r="L235" i="1"/>
  <c r="I236" i="1"/>
  <c r="J236" i="1"/>
  <c r="L236" i="1" s="1"/>
  <c r="K236" i="1"/>
  <c r="I237" i="1"/>
  <c r="J237" i="1"/>
  <c r="K237" i="1"/>
  <c r="L237" i="1"/>
  <c r="I238" i="1"/>
  <c r="J238" i="1"/>
  <c r="L238" i="1" s="1"/>
  <c r="K238" i="1"/>
  <c r="I239" i="1"/>
  <c r="J239" i="1"/>
  <c r="K239" i="1"/>
  <c r="L239" i="1"/>
  <c r="I240" i="1"/>
  <c r="J240" i="1"/>
  <c r="L240" i="1" s="1"/>
  <c r="K240" i="1"/>
  <c r="I241" i="1"/>
  <c r="J241" i="1"/>
  <c r="K241" i="1"/>
  <c r="L241" i="1"/>
  <c r="I242" i="1"/>
  <c r="J242" i="1"/>
  <c r="L242" i="1" s="1"/>
  <c r="K242" i="1"/>
  <c r="I243" i="1"/>
  <c r="J243" i="1"/>
  <c r="K243" i="1"/>
  <c r="L243" i="1"/>
  <c r="I244" i="1"/>
  <c r="J244" i="1"/>
  <c r="L244" i="1" s="1"/>
  <c r="K244" i="1"/>
  <c r="I245" i="1"/>
  <c r="J245" i="1"/>
  <c r="K245" i="1"/>
  <c r="L245" i="1"/>
  <c r="I246" i="1"/>
  <c r="J246" i="1"/>
  <c r="L246" i="1" s="1"/>
  <c r="K246" i="1"/>
  <c r="I247" i="1"/>
  <c r="J247" i="1"/>
  <c r="K247" i="1"/>
  <c r="L247" i="1"/>
  <c r="I248" i="1"/>
  <c r="J248" i="1"/>
  <c r="L248" i="1" s="1"/>
  <c r="K248" i="1"/>
  <c r="I249" i="1"/>
  <c r="J249" i="1"/>
  <c r="K249" i="1"/>
  <c r="L249" i="1"/>
  <c r="I250" i="1"/>
  <c r="J250" i="1"/>
  <c r="L250" i="1" s="1"/>
  <c r="K250" i="1"/>
  <c r="I251" i="1"/>
  <c r="J251" i="1"/>
  <c r="K251" i="1"/>
  <c r="L251" i="1"/>
  <c r="I252" i="1"/>
  <c r="J252" i="1"/>
  <c r="L252" i="1" s="1"/>
  <c r="K252" i="1"/>
  <c r="I253" i="1"/>
  <c r="J253" i="1"/>
  <c r="K253" i="1"/>
  <c r="L253" i="1"/>
  <c r="I254" i="1"/>
  <c r="J254" i="1"/>
  <c r="L254" i="1" s="1"/>
  <c r="K254" i="1"/>
  <c r="I255" i="1"/>
  <c r="J255" i="1"/>
  <c r="K255" i="1"/>
  <c r="L255" i="1"/>
  <c r="I256" i="1"/>
  <c r="J256" i="1"/>
  <c r="L256" i="1" s="1"/>
  <c r="K256" i="1"/>
  <c r="I257" i="1"/>
  <c r="J257" i="1"/>
  <c r="K257" i="1"/>
  <c r="L257" i="1"/>
  <c r="I258" i="1"/>
  <c r="J258" i="1"/>
  <c r="L258" i="1" s="1"/>
  <c r="K258" i="1"/>
  <c r="I259" i="1"/>
  <c r="J259" i="1"/>
  <c r="K259" i="1"/>
  <c r="L259" i="1"/>
  <c r="I260" i="1"/>
  <c r="J260" i="1"/>
  <c r="L260" i="1" s="1"/>
  <c r="K260" i="1"/>
  <c r="I261" i="1"/>
  <c r="J261" i="1"/>
  <c r="K261" i="1"/>
  <c r="L261" i="1"/>
  <c r="I262" i="1"/>
  <c r="J262" i="1"/>
  <c r="L262" i="1" s="1"/>
  <c r="K262" i="1"/>
  <c r="I263" i="1"/>
  <c r="J263" i="1"/>
  <c r="K263" i="1"/>
  <c r="L263" i="1"/>
  <c r="I264" i="1"/>
  <c r="J264" i="1"/>
  <c r="L264" i="1" s="1"/>
  <c r="K264" i="1"/>
  <c r="I265" i="1"/>
  <c r="J265" i="1"/>
  <c r="K265" i="1"/>
  <c r="L265" i="1"/>
  <c r="I266" i="1"/>
  <c r="J266" i="1"/>
  <c r="L266" i="1" s="1"/>
  <c r="K266" i="1"/>
  <c r="I267" i="1"/>
  <c r="J267" i="1"/>
  <c r="K267" i="1"/>
  <c r="L267" i="1"/>
  <c r="I268" i="1"/>
  <c r="J268" i="1"/>
  <c r="L268" i="1" s="1"/>
  <c r="K268" i="1"/>
  <c r="I269" i="1"/>
  <c r="J269" i="1"/>
  <c r="K269" i="1"/>
  <c r="L269" i="1"/>
  <c r="I270" i="1"/>
  <c r="J270" i="1"/>
  <c r="L270" i="1" s="1"/>
  <c r="K270" i="1"/>
  <c r="I271" i="1"/>
  <c r="J271" i="1"/>
  <c r="K271" i="1"/>
  <c r="L271" i="1"/>
  <c r="I272" i="1"/>
  <c r="J272" i="1"/>
  <c r="L272" i="1" s="1"/>
  <c r="R4" i="1"/>
  <c r="S4" i="1"/>
  <c r="U4" i="1" s="1"/>
  <c r="T4" i="1"/>
  <c r="R5" i="1"/>
  <c r="S5" i="1"/>
  <c r="T5" i="1"/>
  <c r="U5" i="1"/>
  <c r="R6" i="1"/>
  <c r="S6" i="1"/>
  <c r="U6" i="1" s="1"/>
  <c r="T6" i="1"/>
  <c r="R7" i="1"/>
  <c r="S7" i="1"/>
  <c r="T7" i="1"/>
  <c r="U7" i="1"/>
  <c r="R8" i="1"/>
  <c r="S8" i="1"/>
  <c r="U8" i="1" s="1"/>
  <c r="T8" i="1"/>
  <c r="R9" i="1"/>
  <c r="S9" i="1"/>
  <c r="U9" i="1" s="1"/>
  <c r="T9" i="1"/>
  <c r="R10" i="1"/>
  <c r="S10" i="1"/>
  <c r="U10" i="1" s="1"/>
  <c r="T10" i="1"/>
  <c r="R11" i="1"/>
  <c r="S11" i="1"/>
  <c r="T11" i="1"/>
  <c r="U11" i="1"/>
  <c r="R12" i="1"/>
  <c r="S12" i="1"/>
  <c r="U12" i="1" s="1"/>
  <c r="T12" i="1"/>
  <c r="R13" i="1"/>
  <c r="S13" i="1"/>
  <c r="T13" i="1"/>
  <c r="U13" i="1"/>
  <c r="R14" i="1"/>
  <c r="S14" i="1"/>
  <c r="U14" i="1" s="1"/>
  <c r="T14" i="1"/>
  <c r="R15" i="1"/>
  <c r="S15" i="1"/>
  <c r="T15" i="1"/>
  <c r="U15" i="1"/>
  <c r="R16" i="1"/>
  <c r="S16" i="1"/>
  <c r="U16" i="1" s="1"/>
  <c r="T16" i="1"/>
  <c r="R17" i="1"/>
  <c r="S17" i="1"/>
  <c r="T17" i="1"/>
  <c r="U17" i="1"/>
  <c r="R18" i="1"/>
  <c r="S18" i="1"/>
  <c r="U18" i="1" s="1"/>
  <c r="T18" i="1"/>
  <c r="R19" i="1"/>
  <c r="S19" i="1"/>
  <c r="T19" i="1"/>
  <c r="U19" i="1"/>
  <c r="R20" i="1"/>
  <c r="S20" i="1"/>
  <c r="U20" i="1" s="1"/>
  <c r="T20" i="1"/>
  <c r="R21" i="1"/>
  <c r="S21" i="1"/>
  <c r="T21" i="1"/>
  <c r="U21" i="1"/>
  <c r="R22" i="1"/>
  <c r="S22" i="1"/>
  <c r="U22" i="1" s="1"/>
  <c r="T22" i="1"/>
  <c r="R23" i="1"/>
  <c r="S23" i="1"/>
  <c r="T23" i="1"/>
  <c r="U23" i="1"/>
  <c r="R24" i="1"/>
  <c r="S24" i="1"/>
  <c r="U24" i="1" s="1"/>
  <c r="T24" i="1"/>
  <c r="R25" i="1"/>
  <c r="S25" i="1"/>
  <c r="T25" i="1"/>
  <c r="U25" i="1"/>
  <c r="R26" i="1"/>
  <c r="S26" i="1"/>
  <c r="U26" i="1" s="1"/>
  <c r="T26" i="1"/>
  <c r="R27" i="1"/>
  <c r="S27" i="1"/>
  <c r="T27" i="1"/>
  <c r="U27" i="1"/>
  <c r="R28" i="1"/>
  <c r="S28" i="1"/>
  <c r="U28" i="1" s="1"/>
  <c r="T28" i="1"/>
  <c r="R29" i="1"/>
  <c r="S29" i="1"/>
  <c r="T29" i="1"/>
  <c r="U29" i="1"/>
  <c r="R30" i="1"/>
  <c r="S30" i="1"/>
  <c r="U30" i="1" s="1"/>
  <c r="T30" i="1"/>
  <c r="R31" i="1"/>
  <c r="S31" i="1"/>
  <c r="T31" i="1"/>
  <c r="U31" i="1"/>
  <c r="R32" i="1"/>
  <c r="S32" i="1"/>
  <c r="U32" i="1" s="1"/>
  <c r="T32" i="1"/>
  <c r="R33" i="1"/>
  <c r="S33" i="1"/>
  <c r="T33" i="1"/>
  <c r="U33" i="1"/>
  <c r="R34" i="1"/>
  <c r="S34" i="1"/>
  <c r="U34" i="1" s="1"/>
  <c r="T34" i="1"/>
  <c r="R35" i="1"/>
  <c r="S35" i="1"/>
  <c r="T35" i="1"/>
  <c r="U35" i="1"/>
  <c r="R36" i="1"/>
  <c r="S36" i="1"/>
  <c r="U36" i="1" s="1"/>
  <c r="T36" i="1"/>
  <c r="R37" i="1"/>
  <c r="S37" i="1"/>
  <c r="T37" i="1"/>
  <c r="U37" i="1"/>
  <c r="R38" i="1"/>
  <c r="S38" i="1"/>
  <c r="U38" i="1" s="1"/>
  <c r="T38" i="1"/>
  <c r="R39" i="1"/>
  <c r="S39" i="1"/>
  <c r="T39" i="1"/>
  <c r="U39" i="1"/>
  <c r="R40" i="1"/>
  <c r="S40" i="1"/>
  <c r="U40" i="1" s="1"/>
  <c r="T40" i="1"/>
  <c r="R41" i="1"/>
  <c r="S41" i="1"/>
  <c r="T41" i="1"/>
  <c r="U41" i="1"/>
  <c r="R42" i="1"/>
  <c r="S42" i="1"/>
  <c r="U42" i="1" s="1"/>
  <c r="T42" i="1"/>
  <c r="R43" i="1"/>
  <c r="S43" i="1"/>
  <c r="T43" i="1"/>
  <c r="U43" i="1"/>
  <c r="R44" i="1"/>
  <c r="S44" i="1"/>
  <c r="U44" i="1" s="1"/>
  <c r="T44" i="1"/>
  <c r="R45" i="1"/>
  <c r="S45" i="1"/>
  <c r="T45" i="1"/>
  <c r="U45" i="1"/>
  <c r="R46" i="1"/>
  <c r="S46" i="1"/>
  <c r="U46" i="1" s="1"/>
  <c r="T46" i="1"/>
  <c r="R47" i="1"/>
  <c r="S47" i="1"/>
  <c r="T47" i="1"/>
  <c r="U47" i="1"/>
  <c r="R48" i="1"/>
  <c r="S48" i="1"/>
  <c r="U48" i="1" s="1"/>
  <c r="T48" i="1"/>
  <c r="R49" i="1"/>
  <c r="S49" i="1"/>
  <c r="T49" i="1"/>
  <c r="U49" i="1"/>
  <c r="R50" i="1"/>
  <c r="S50" i="1"/>
  <c r="U50" i="1" s="1"/>
  <c r="T50" i="1"/>
  <c r="R51" i="1"/>
  <c r="S51" i="1"/>
  <c r="T51" i="1"/>
  <c r="U51" i="1"/>
  <c r="R52" i="1"/>
  <c r="S52" i="1"/>
  <c r="U52" i="1" s="1"/>
  <c r="T52" i="1"/>
  <c r="R53" i="1"/>
  <c r="S53" i="1"/>
  <c r="T53" i="1"/>
  <c r="U53" i="1"/>
  <c r="R54" i="1"/>
  <c r="S54" i="1"/>
  <c r="U54" i="1" s="1"/>
  <c r="T54" i="1"/>
  <c r="R55" i="1"/>
  <c r="S55" i="1"/>
  <c r="T55" i="1"/>
  <c r="U55" i="1"/>
  <c r="R56" i="1"/>
  <c r="S56" i="1"/>
  <c r="U56" i="1" s="1"/>
  <c r="T56" i="1"/>
  <c r="R57" i="1"/>
  <c r="S57" i="1"/>
  <c r="T57" i="1"/>
  <c r="U57" i="1"/>
  <c r="R58" i="1"/>
  <c r="S58" i="1"/>
  <c r="U58" i="1" s="1"/>
  <c r="T58" i="1"/>
  <c r="R59" i="1"/>
  <c r="S59" i="1"/>
  <c r="T59" i="1"/>
  <c r="U59" i="1"/>
  <c r="R60" i="1"/>
  <c r="S60" i="1"/>
  <c r="U60" i="1" s="1"/>
  <c r="T60" i="1"/>
  <c r="R61" i="1"/>
  <c r="S61" i="1"/>
  <c r="T61" i="1"/>
  <c r="U61" i="1"/>
  <c r="R62" i="1"/>
  <c r="S62" i="1"/>
  <c r="U62" i="1" s="1"/>
  <c r="T62" i="1"/>
  <c r="R63" i="1"/>
  <c r="S63" i="1"/>
  <c r="T63" i="1"/>
  <c r="U63" i="1"/>
  <c r="R64" i="1"/>
  <c r="S64" i="1"/>
  <c r="U64" i="1" s="1"/>
  <c r="T64" i="1"/>
  <c r="R65" i="1"/>
  <c r="S65" i="1"/>
  <c r="T65" i="1"/>
  <c r="U65" i="1"/>
  <c r="R66" i="1"/>
  <c r="S66" i="1"/>
  <c r="U66" i="1" s="1"/>
  <c r="T66" i="1"/>
  <c r="R67" i="1"/>
  <c r="S67" i="1"/>
  <c r="T67" i="1"/>
  <c r="U67" i="1"/>
  <c r="R68" i="1"/>
  <c r="S68" i="1"/>
  <c r="U68" i="1" s="1"/>
  <c r="T68" i="1"/>
  <c r="R69" i="1"/>
  <c r="S69" i="1"/>
  <c r="T69" i="1"/>
  <c r="U69" i="1"/>
  <c r="R70" i="1"/>
  <c r="S70" i="1"/>
  <c r="U70" i="1" s="1"/>
  <c r="T70" i="1"/>
  <c r="R71" i="1"/>
  <c r="S71" i="1"/>
  <c r="T71" i="1"/>
  <c r="U71" i="1"/>
  <c r="R72" i="1"/>
  <c r="S72" i="1"/>
  <c r="U72" i="1" s="1"/>
  <c r="T72" i="1"/>
  <c r="R73" i="1"/>
  <c r="S73" i="1"/>
  <c r="T73" i="1"/>
  <c r="U73" i="1"/>
  <c r="R74" i="1"/>
  <c r="S74" i="1"/>
  <c r="U74" i="1" s="1"/>
  <c r="T74" i="1"/>
  <c r="R75" i="1"/>
  <c r="S75" i="1"/>
  <c r="T75" i="1"/>
  <c r="U75" i="1"/>
  <c r="R76" i="1"/>
  <c r="S76" i="1"/>
  <c r="U76" i="1" s="1"/>
  <c r="T76" i="1"/>
  <c r="R77" i="1"/>
  <c r="S77" i="1"/>
  <c r="T77" i="1"/>
  <c r="U77" i="1"/>
  <c r="R78" i="1"/>
  <c r="S78" i="1"/>
  <c r="U78" i="1" s="1"/>
  <c r="T78" i="1"/>
  <c r="R79" i="1"/>
  <c r="S79" i="1"/>
  <c r="T79" i="1"/>
  <c r="U79" i="1"/>
  <c r="R80" i="1"/>
  <c r="S80" i="1"/>
  <c r="U80" i="1" s="1"/>
  <c r="T80" i="1"/>
  <c r="R81" i="1"/>
  <c r="S81" i="1"/>
  <c r="T81" i="1"/>
  <c r="U81" i="1"/>
  <c r="R82" i="1"/>
  <c r="S82" i="1"/>
  <c r="T82" i="1"/>
  <c r="R83" i="1"/>
  <c r="S83" i="1"/>
  <c r="T83" i="1"/>
  <c r="U83" i="1"/>
  <c r="R84" i="1"/>
  <c r="S84" i="1"/>
  <c r="U84" i="1" s="1"/>
  <c r="T84" i="1"/>
  <c r="R85" i="1"/>
  <c r="S85" i="1"/>
  <c r="T85" i="1"/>
  <c r="U85" i="1"/>
  <c r="R86" i="1"/>
  <c r="S86" i="1"/>
  <c r="T86" i="1"/>
  <c r="R87" i="1"/>
  <c r="S87" i="1"/>
  <c r="U87" i="1" s="1"/>
  <c r="T87" i="1"/>
  <c r="R88" i="1"/>
  <c r="S88" i="1"/>
  <c r="U88" i="1" s="1"/>
  <c r="T88" i="1"/>
  <c r="R89" i="1"/>
  <c r="S89" i="1"/>
  <c r="U89" i="1" s="1"/>
  <c r="T89" i="1"/>
  <c r="R90" i="1"/>
  <c r="S90" i="1"/>
  <c r="T90" i="1"/>
  <c r="R91" i="1"/>
  <c r="S91" i="1"/>
  <c r="U91" i="1" s="1"/>
  <c r="T91" i="1"/>
  <c r="R92" i="1"/>
  <c r="S92" i="1"/>
  <c r="T92" i="1"/>
  <c r="R93" i="1"/>
  <c r="S93" i="1"/>
  <c r="U93" i="1" s="1"/>
  <c r="T93" i="1"/>
  <c r="R94" i="1"/>
  <c r="S94" i="1"/>
  <c r="T94" i="1"/>
  <c r="R95" i="1"/>
  <c r="S95" i="1"/>
  <c r="U95" i="1" s="1"/>
  <c r="T95" i="1"/>
  <c r="R96" i="1"/>
  <c r="S96" i="1"/>
  <c r="U96" i="1" s="1"/>
  <c r="T96" i="1"/>
  <c r="R97" i="1"/>
  <c r="S97" i="1"/>
  <c r="T97" i="1"/>
  <c r="U97" i="1" s="1"/>
  <c r="R98" i="1"/>
  <c r="S98" i="1"/>
  <c r="T98" i="1"/>
  <c r="R99" i="1"/>
  <c r="S99" i="1"/>
  <c r="T99" i="1"/>
  <c r="U99" i="1"/>
  <c r="R100" i="1"/>
  <c r="S100" i="1"/>
  <c r="U100" i="1" s="1"/>
  <c r="T100" i="1"/>
  <c r="R101" i="1"/>
  <c r="S101" i="1"/>
  <c r="T101" i="1"/>
  <c r="U101" i="1"/>
  <c r="R102" i="1"/>
  <c r="S102" i="1"/>
  <c r="T102" i="1"/>
  <c r="R103" i="1"/>
  <c r="S103" i="1"/>
  <c r="U103" i="1" s="1"/>
  <c r="T103" i="1"/>
  <c r="R104" i="1"/>
  <c r="S104" i="1"/>
  <c r="U104" i="1" s="1"/>
  <c r="T104" i="1"/>
  <c r="R105" i="1"/>
  <c r="S105" i="1"/>
  <c r="U105" i="1" s="1"/>
  <c r="T105" i="1"/>
  <c r="R106" i="1"/>
  <c r="S106" i="1"/>
  <c r="T106" i="1"/>
  <c r="R107" i="1"/>
  <c r="S107" i="1"/>
  <c r="U107" i="1" s="1"/>
  <c r="T107" i="1"/>
  <c r="R108" i="1"/>
  <c r="S108" i="1"/>
  <c r="T108" i="1"/>
  <c r="R109" i="1"/>
  <c r="S109" i="1"/>
  <c r="U109" i="1" s="1"/>
  <c r="T109" i="1"/>
  <c r="R110" i="1"/>
  <c r="S110" i="1"/>
  <c r="T110" i="1"/>
  <c r="R111" i="1"/>
  <c r="S111" i="1"/>
  <c r="U111" i="1" s="1"/>
  <c r="T111" i="1"/>
  <c r="R112" i="1"/>
  <c r="S112" i="1"/>
  <c r="U112" i="1" s="1"/>
  <c r="T112" i="1"/>
  <c r="R113" i="1"/>
  <c r="S113" i="1"/>
  <c r="U113" i="1" s="1"/>
  <c r="T113" i="1"/>
  <c r="R114" i="1"/>
  <c r="S114" i="1"/>
  <c r="T114" i="1"/>
  <c r="R115" i="1"/>
  <c r="S115" i="1"/>
  <c r="T115" i="1"/>
  <c r="U115" i="1"/>
  <c r="R116" i="1"/>
  <c r="S116" i="1"/>
  <c r="U116" i="1" s="1"/>
  <c r="T116" i="1"/>
  <c r="R117" i="1"/>
  <c r="S117" i="1"/>
  <c r="T117" i="1"/>
  <c r="U117" i="1"/>
  <c r="R118" i="1"/>
  <c r="S118" i="1"/>
  <c r="T118" i="1"/>
  <c r="R119" i="1"/>
  <c r="S119" i="1"/>
  <c r="U119" i="1" s="1"/>
  <c r="T119" i="1"/>
  <c r="R120" i="1"/>
  <c r="S120" i="1"/>
  <c r="U120" i="1" s="1"/>
  <c r="T120" i="1"/>
  <c r="R121" i="1"/>
  <c r="S121" i="1"/>
  <c r="U121" i="1" s="1"/>
  <c r="T121" i="1"/>
  <c r="R122" i="1"/>
  <c r="S122" i="1"/>
  <c r="T122" i="1"/>
  <c r="R123" i="1"/>
  <c r="S123" i="1"/>
  <c r="U123" i="1" s="1"/>
  <c r="T123" i="1"/>
  <c r="R124" i="1"/>
  <c r="S124" i="1"/>
  <c r="T124" i="1"/>
  <c r="R125" i="1"/>
  <c r="S125" i="1"/>
  <c r="U125" i="1" s="1"/>
  <c r="T125" i="1"/>
  <c r="R126" i="1"/>
  <c r="S126" i="1"/>
  <c r="T126" i="1"/>
  <c r="R127" i="1"/>
  <c r="S127" i="1"/>
  <c r="U127" i="1" s="1"/>
  <c r="T127" i="1"/>
  <c r="R128" i="1"/>
  <c r="S128" i="1"/>
  <c r="U128" i="1" s="1"/>
  <c r="T128" i="1"/>
  <c r="R129" i="1"/>
  <c r="S129" i="1"/>
  <c r="U129" i="1" s="1"/>
  <c r="T129" i="1"/>
  <c r="R130" i="1"/>
  <c r="S130" i="1"/>
  <c r="T130" i="1"/>
  <c r="R131" i="1"/>
  <c r="S131" i="1"/>
  <c r="T131" i="1"/>
  <c r="U131" i="1"/>
  <c r="R132" i="1"/>
  <c r="S132" i="1"/>
  <c r="U132" i="1" s="1"/>
  <c r="T132" i="1"/>
  <c r="R133" i="1"/>
  <c r="S133" i="1"/>
  <c r="T133" i="1"/>
  <c r="U133" i="1"/>
  <c r="R134" i="1"/>
  <c r="S134" i="1"/>
  <c r="T134" i="1"/>
  <c r="R135" i="1"/>
  <c r="S135" i="1"/>
  <c r="U135" i="1" s="1"/>
  <c r="T135" i="1"/>
  <c r="R136" i="1"/>
  <c r="S136" i="1"/>
  <c r="U136" i="1" s="1"/>
  <c r="T136" i="1"/>
  <c r="R137" i="1"/>
  <c r="S137" i="1"/>
  <c r="U137" i="1" s="1"/>
  <c r="T137" i="1"/>
  <c r="R138" i="1"/>
  <c r="S138" i="1"/>
  <c r="T138" i="1"/>
  <c r="R139" i="1"/>
  <c r="S139" i="1"/>
  <c r="U139" i="1" s="1"/>
  <c r="T139" i="1"/>
  <c r="R140" i="1"/>
  <c r="S140" i="1"/>
  <c r="T140" i="1"/>
  <c r="R141" i="1"/>
  <c r="S141" i="1"/>
  <c r="U141" i="1" s="1"/>
  <c r="T141" i="1"/>
  <c r="R142" i="1"/>
  <c r="S142" i="1"/>
  <c r="T142" i="1"/>
  <c r="R143" i="1"/>
  <c r="S143" i="1"/>
  <c r="U143" i="1" s="1"/>
  <c r="T143" i="1"/>
  <c r="R144" i="1"/>
  <c r="S144" i="1"/>
  <c r="U144" i="1" s="1"/>
  <c r="T144" i="1"/>
  <c r="R145" i="1"/>
  <c r="S145" i="1"/>
  <c r="U145" i="1" s="1"/>
  <c r="T145" i="1"/>
  <c r="R146" i="1"/>
  <c r="S146" i="1"/>
  <c r="T146" i="1"/>
  <c r="R147" i="1"/>
  <c r="S147" i="1"/>
  <c r="T147" i="1"/>
  <c r="U147" i="1"/>
  <c r="R148" i="1"/>
  <c r="S148" i="1"/>
  <c r="U148" i="1" s="1"/>
  <c r="T148" i="1"/>
  <c r="R149" i="1"/>
  <c r="S149" i="1"/>
  <c r="T149" i="1"/>
  <c r="U149" i="1"/>
  <c r="R150" i="1"/>
  <c r="S150" i="1"/>
  <c r="T150" i="1"/>
  <c r="R151" i="1"/>
  <c r="S151" i="1"/>
  <c r="U151" i="1" s="1"/>
  <c r="T151" i="1"/>
  <c r="R152" i="1"/>
  <c r="S152" i="1"/>
  <c r="U152" i="1" s="1"/>
  <c r="T152" i="1"/>
  <c r="R153" i="1"/>
  <c r="S153" i="1"/>
  <c r="U153" i="1" s="1"/>
  <c r="T153" i="1"/>
  <c r="R154" i="1"/>
  <c r="S154" i="1"/>
  <c r="T154" i="1"/>
  <c r="R155" i="1"/>
  <c r="S155" i="1"/>
  <c r="U155" i="1" s="1"/>
  <c r="T155" i="1"/>
  <c r="R156" i="1"/>
  <c r="S156" i="1"/>
  <c r="T156" i="1"/>
  <c r="R157" i="1"/>
  <c r="S157" i="1"/>
  <c r="U157" i="1" s="1"/>
  <c r="T157" i="1"/>
  <c r="R158" i="1"/>
  <c r="S158" i="1"/>
  <c r="T158" i="1"/>
  <c r="R159" i="1"/>
  <c r="S159" i="1"/>
  <c r="U159" i="1" s="1"/>
  <c r="T159" i="1"/>
  <c r="R160" i="1"/>
  <c r="S160" i="1"/>
  <c r="U160" i="1" s="1"/>
  <c r="T160" i="1"/>
  <c r="R161" i="1"/>
  <c r="S161" i="1"/>
  <c r="U161" i="1" s="1"/>
  <c r="T161" i="1"/>
  <c r="R162" i="1"/>
  <c r="S162" i="1"/>
  <c r="T162" i="1"/>
  <c r="R163" i="1"/>
  <c r="S163" i="1"/>
  <c r="T163" i="1"/>
  <c r="U163" i="1"/>
  <c r="R164" i="1"/>
  <c r="S164" i="1"/>
  <c r="U164" i="1" s="1"/>
  <c r="T164" i="1"/>
  <c r="R165" i="1"/>
  <c r="S165" i="1"/>
  <c r="T165" i="1"/>
  <c r="U165" i="1"/>
  <c r="R166" i="1"/>
  <c r="S166" i="1"/>
  <c r="T166" i="1"/>
  <c r="R167" i="1"/>
  <c r="S167" i="1"/>
  <c r="U167" i="1" s="1"/>
  <c r="T167" i="1"/>
  <c r="R168" i="1"/>
  <c r="S168" i="1"/>
  <c r="U168" i="1" s="1"/>
  <c r="T168" i="1"/>
  <c r="R169" i="1"/>
  <c r="S169" i="1"/>
  <c r="T169" i="1"/>
  <c r="U169" i="1" s="1"/>
  <c r="R170" i="1"/>
  <c r="S170" i="1"/>
  <c r="T170" i="1"/>
  <c r="R171" i="1"/>
  <c r="S171" i="1"/>
  <c r="U171" i="1" s="1"/>
  <c r="T171" i="1"/>
  <c r="R172" i="1"/>
  <c r="S172" i="1"/>
  <c r="T172" i="1"/>
  <c r="R173" i="1"/>
  <c r="S173" i="1"/>
  <c r="U173" i="1" s="1"/>
  <c r="T173" i="1"/>
  <c r="R174" i="1"/>
  <c r="S174" i="1"/>
  <c r="T174" i="1"/>
  <c r="U174" i="1"/>
  <c r="R175" i="1"/>
  <c r="S175" i="1"/>
  <c r="U175" i="1" s="1"/>
  <c r="T175" i="1"/>
  <c r="R176" i="1"/>
  <c r="S176" i="1"/>
  <c r="T176" i="1"/>
  <c r="U176" i="1"/>
  <c r="R177" i="1"/>
  <c r="S177" i="1"/>
  <c r="U177" i="1" s="1"/>
  <c r="T177" i="1"/>
  <c r="R178" i="1"/>
  <c r="S178" i="1"/>
  <c r="T178" i="1"/>
  <c r="U178" i="1"/>
  <c r="R179" i="1"/>
  <c r="S179" i="1"/>
  <c r="U179" i="1" s="1"/>
  <c r="T179" i="1"/>
  <c r="R180" i="1"/>
  <c r="S180" i="1"/>
  <c r="T180" i="1"/>
  <c r="U180" i="1"/>
  <c r="R181" i="1"/>
  <c r="S181" i="1"/>
  <c r="U181" i="1" s="1"/>
  <c r="T181" i="1"/>
  <c r="R182" i="1"/>
  <c r="S182" i="1"/>
  <c r="T182" i="1"/>
  <c r="U182" i="1"/>
  <c r="R183" i="1"/>
  <c r="S183" i="1"/>
  <c r="U183" i="1" s="1"/>
  <c r="T183" i="1"/>
  <c r="R184" i="1"/>
  <c r="S184" i="1"/>
  <c r="T184" i="1"/>
  <c r="U184" i="1"/>
  <c r="R185" i="1"/>
  <c r="S185" i="1"/>
  <c r="U185" i="1" s="1"/>
  <c r="T185" i="1"/>
  <c r="R186" i="1"/>
  <c r="S186" i="1"/>
  <c r="T186" i="1"/>
  <c r="U186" i="1"/>
  <c r="R187" i="1"/>
  <c r="S187" i="1"/>
  <c r="U187" i="1" s="1"/>
  <c r="T187" i="1"/>
  <c r="R188" i="1"/>
  <c r="S188" i="1"/>
  <c r="T188" i="1"/>
  <c r="U188" i="1"/>
  <c r="R189" i="1"/>
  <c r="S189" i="1"/>
  <c r="U189" i="1" s="1"/>
  <c r="T189" i="1"/>
  <c r="R190" i="1"/>
  <c r="S190" i="1"/>
  <c r="T190" i="1"/>
  <c r="U190" i="1"/>
  <c r="R191" i="1"/>
  <c r="S191" i="1"/>
  <c r="U191" i="1" s="1"/>
  <c r="T191" i="1"/>
  <c r="R192" i="1"/>
  <c r="S192" i="1"/>
  <c r="T192" i="1"/>
  <c r="U192" i="1"/>
  <c r="R193" i="1"/>
  <c r="S193" i="1"/>
  <c r="U193" i="1" s="1"/>
  <c r="T193" i="1"/>
  <c r="R194" i="1"/>
  <c r="S194" i="1"/>
  <c r="T194" i="1"/>
  <c r="U194" i="1"/>
  <c r="R195" i="1"/>
  <c r="S195" i="1"/>
  <c r="U195" i="1" s="1"/>
  <c r="T195" i="1"/>
  <c r="R196" i="1"/>
  <c r="S196" i="1"/>
  <c r="T196" i="1"/>
  <c r="U196" i="1"/>
  <c r="R197" i="1"/>
  <c r="S197" i="1"/>
  <c r="U197" i="1" s="1"/>
  <c r="T197" i="1"/>
  <c r="R198" i="1"/>
  <c r="S198" i="1"/>
  <c r="T198" i="1"/>
  <c r="U198" i="1"/>
  <c r="R199" i="1"/>
  <c r="S199" i="1"/>
  <c r="U199" i="1" s="1"/>
  <c r="T199" i="1"/>
  <c r="R200" i="1"/>
  <c r="S200" i="1"/>
  <c r="T200" i="1"/>
  <c r="U200" i="1"/>
  <c r="R201" i="1"/>
  <c r="S201" i="1"/>
  <c r="U201" i="1" s="1"/>
  <c r="T201" i="1"/>
  <c r="R202" i="1"/>
  <c r="S202" i="1"/>
  <c r="T202" i="1"/>
  <c r="U202" i="1"/>
  <c r="R203" i="1"/>
  <c r="S203" i="1"/>
  <c r="U203" i="1" s="1"/>
  <c r="T203" i="1"/>
  <c r="R204" i="1"/>
  <c r="S204" i="1"/>
  <c r="T204" i="1"/>
  <c r="U204" i="1"/>
  <c r="R205" i="1"/>
  <c r="S205" i="1"/>
  <c r="U205" i="1" s="1"/>
  <c r="T205" i="1"/>
  <c r="R206" i="1"/>
  <c r="S206" i="1"/>
  <c r="T206" i="1"/>
  <c r="U206" i="1"/>
  <c r="R207" i="1"/>
  <c r="S207" i="1"/>
  <c r="U207" i="1" s="1"/>
  <c r="T207" i="1"/>
  <c r="R208" i="1"/>
  <c r="S208" i="1"/>
  <c r="T208" i="1"/>
  <c r="U208" i="1"/>
  <c r="R209" i="1"/>
  <c r="S209" i="1"/>
  <c r="U209" i="1" s="1"/>
  <c r="T209" i="1"/>
  <c r="R210" i="1"/>
  <c r="S210" i="1"/>
  <c r="T210" i="1"/>
  <c r="U210" i="1"/>
  <c r="R211" i="1"/>
  <c r="S211" i="1"/>
  <c r="U211" i="1" s="1"/>
  <c r="T211" i="1"/>
  <c r="R212" i="1"/>
  <c r="S212" i="1"/>
  <c r="T212" i="1"/>
  <c r="U212" i="1"/>
  <c r="R213" i="1"/>
  <c r="S213" i="1"/>
  <c r="U213" i="1" s="1"/>
  <c r="T213" i="1"/>
  <c r="R214" i="1"/>
  <c r="S214" i="1"/>
  <c r="T214" i="1"/>
  <c r="U214" i="1"/>
  <c r="R215" i="1"/>
  <c r="S215" i="1"/>
  <c r="U215" i="1" s="1"/>
  <c r="T215" i="1"/>
  <c r="R216" i="1"/>
  <c r="S216" i="1"/>
  <c r="T216" i="1"/>
  <c r="U216" i="1"/>
  <c r="R217" i="1"/>
  <c r="S217" i="1"/>
  <c r="U217" i="1" s="1"/>
  <c r="T217" i="1"/>
  <c r="R218" i="1"/>
  <c r="S218" i="1"/>
  <c r="T218" i="1"/>
  <c r="U218" i="1"/>
  <c r="R219" i="1"/>
  <c r="S219" i="1"/>
  <c r="U219" i="1" s="1"/>
  <c r="T219" i="1"/>
  <c r="R220" i="1"/>
  <c r="S220" i="1"/>
  <c r="T220" i="1"/>
  <c r="U220" i="1"/>
  <c r="R221" i="1"/>
  <c r="S221" i="1"/>
  <c r="U221" i="1" s="1"/>
  <c r="T221" i="1"/>
  <c r="R222" i="1"/>
  <c r="S222" i="1"/>
  <c r="T222" i="1"/>
  <c r="U222" i="1"/>
  <c r="R223" i="1"/>
  <c r="S223" i="1"/>
  <c r="U223" i="1" s="1"/>
  <c r="T223" i="1"/>
  <c r="R224" i="1"/>
  <c r="S224" i="1"/>
  <c r="T224" i="1"/>
  <c r="U224" i="1"/>
  <c r="R225" i="1"/>
  <c r="S225" i="1"/>
  <c r="U225" i="1" s="1"/>
  <c r="T225" i="1"/>
  <c r="R226" i="1"/>
  <c r="S226" i="1"/>
  <c r="T226" i="1"/>
  <c r="U226" i="1"/>
  <c r="R227" i="1"/>
  <c r="S227" i="1"/>
  <c r="U227" i="1" s="1"/>
  <c r="T227" i="1"/>
  <c r="R228" i="1"/>
  <c r="S228" i="1"/>
  <c r="T228" i="1"/>
  <c r="U228" i="1"/>
  <c r="R229" i="1"/>
  <c r="S229" i="1"/>
  <c r="U229" i="1" s="1"/>
  <c r="T229" i="1"/>
  <c r="R230" i="1"/>
  <c r="S230" i="1"/>
  <c r="T230" i="1"/>
  <c r="U230" i="1"/>
  <c r="R231" i="1"/>
  <c r="S231" i="1"/>
  <c r="U231" i="1" s="1"/>
  <c r="T231" i="1"/>
  <c r="R232" i="1"/>
  <c r="S232" i="1"/>
  <c r="T232" i="1"/>
  <c r="U232" i="1"/>
  <c r="R233" i="1"/>
  <c r="S233" i="1"/>
  <c r="U233" i="1" s="1"/>
  <c r="T233" i="1"/>
  <c r="R234" i="1"/>
  <c r="S234" i="1"/>
  <c r="T234" i="1"/>
  <c r="U234" i="1"/>
  <c r="R235" i="1"/>
  <c r="S235" i="1"/>
  <c r="U235" i="1" s="1"/>
  <c r="T235" i="1"/>
  <c r="R236" i="1"/>
  <c r="S236" i="1"/>
  <c r="T236" i="1"/>
  <c r="U236" i="1"/>
  <c r="R237" i="1"/>
  <c r="S237" i="1"/>
  <c r="U237" i="1" s="1"/>
  <c r="T237" i="1"/>
  <c r="R238" i="1"/>
  <c r="S238" i="1"/>
  <c r="T238" i="1"/>
  <c r="U238" i="1"/>
  <c r="R239" i="1"/>
  <c r="S239" i="1"/>
  <c r="U239" i="1" s="1"/>
  <c r="T239" i="1"/>
  <c r="R240" i="1"/>
  <c r="S240" i="1"/>
  <c r="T240" i="1"/>
  <c r="U240" i="1"/>
  <c r="R241" i="1"/>
  <c r="S241" i="1"/>
  <c r="U241" i="1" s="1"/>
  <c r="T241" i="1"/>
  <c r="R242" i="1"/>
  <c r="S242" i="1"/>
  <c r="T242" i="1"/>
  <c r="U242" i="1"/>
  <c r="R243" i="1"/>
  <c r="S243" i="1"/>
  <c r="U243" i="1" s="1"/>
  <c r="T243" i="1"/>
  <c r="R244" i="1"/>
  <c r="S244" i="1"/>
  <c r="T244" i="1"/>
  <c r="U244" i="1"/>
  <c r="R245" i="1"/>
  <c r="S245" i="1"/>
  <c r="U245" i="1" s="1"/>
  <c r="T245" i="1"/>
  <c r="R246" i="1"/>
  <c r="S246" i="1"/>
  <c r="T246" i="1"/>
  <c r="U246" i="1"/>
  <c r="R247" i="1"/>
  <c r="S247" i="1"/>
  <c r="U247" i="1" s="1"/>
  <c r="T247" i="1"/>
  <c r="R248" i="1"/>
  <c r="S248" i="1"/>
  <c r="T248" i="1"/>
  <c r="U248" i="1"/>
  <c r="R249" i="1"/>
  <c r="S249" i="1"/>
  <c r="U249" i="1" s="1"/>
  <c r="T249" i="1"/>
  <c r="R250" i="1"/>
  <c r="S250" i="1"/>
  <c r="T250" i="1"/>
  <c r="U250" i="1"/>
  <c r="R251" i="1"/>
  <c r="S251" i="1"/>
  <c r="U251" i="1" s="1"/>
  <c r="T251" i="1"/>
  <c r="R252" i="1"/>
  <c r="S252" i="1"/>
  <c r="T252" i="1"/>
  <c r="U252" i="1"/>
  <c r="R253" i="1"/>
  <c r="S253" i="1"/>
  <c r="U253" i="1" s="1"/>
  <c r="T253" i="1"/>
  <c r="R254" i="1"/>
  <c r="S254" i="1"/>
  <c r="T254" i="1"/>
  <c r="U254" i="1"/>
  <c r="R255" i="1"/>
  <c r="S255" i="1"/>
  <c r="U255" i="1" s="1"/>
  <c r="T255" i="1"/>
  <c r="R256" i="1"/>
  <c r="S256" i="1"/>
  <c r="T256" i="1"/>
  <c r="U256" i="1"/>
  <c r="R257" i="1"/>
  <c r="S257" i="1"/>
  <c r="U257" i="1" s="1"/>
  <c r="T257" i="1"/>
  <c r="R258" i="1"/>
  <c r="S258" i="1"/>
  <c r="T258" i="1"/>
  <c r="U258" i="1"/>
  <c r="R259" i="1"/>
  <c r="S259" i="1"/>
  <c r="U259" i="1" s="1"/>
  <c r="T259" i="1"/>
  <c r="R260" i="1"/>
  <c r="S260" i="1"/>
  <c r="T260" i="1"/>
  <c r="U260" i="1"/>
  <c r="R261" i="1"/>
  <c r="S261" i="1"/>
  <c r="U261" i="1" s="1"/>
  <c r="T261" i="1"/>
  <c r="R262" i="1"/>
  <c r="S262" i="1"/>
  <c r="T262" i="1"/>
  <c r="U262" i="1"/>
  <c r="R263" i="1"/>
  <c r="S263" i="1"/>
  <c r="U263" i="1" s="1"/>
  <c r="T263" i="1"/>
  <c r="R264" i="1"/>
  <c r="S264" i="1"/>
  <c r="T264" i="1"/>
  <c r="U264" i="1"/>
  <c r="R265" i="1"/>
  <c r="S265" i="1"/>
  <c r="U265" i="1" s="1"/>
  <c r="T265" i="1"/>
  <c r="R266" i="1"/>
  <c r="S266" i="1"/>
  <c r="T266" i="1"/>
  <c r="U266" i="1"/>
  <c r="R267" i="1"/>
  <c r="S267" i="1"/>
  <c r="U267" i="1" s="1"/>
  <c r="T267" i="1"/>
  <c r="R268" i="1"/>
  <c r="S268" i="1"/>
  <c r="T268" i="1"/>
  <c r="U268" i="1"/>
  <c r="R269" i="1"/>
  <c r="S269" i="1"/>
  <c r="U269" i="1" s="1"/>
  <c r="T269" i="1"/>
  <c r="R270" i="1"/>
  <c r="S270" i="1"/>
  <c r="T270" i="1"/>
  <c r="U270" i="1"/>
  <c r="R271" i="1"/>
  <c r="S271" i="1"/>
  <c r="U271" i="1" s="1"/>
  <c r="T271" i="1"/>
  <c r="R272" i="1"/>
  <c r="S272" i="1"/>
  <c r="T272" i="1"/>
  <c r="U272" i="1"/>
  <c r="AA4" i="1"/>
  <c r="AB4" i="1"/>
  <c r="AD4" i="1" s="1"/>
  <c r="AC4" i="1"/>
  <c r="AA5" i="1"/>
  <c r="AB5" i="1"/>
  <c r="AC5" i="1"/>
  <c r="AD5" i="1"/>
  <c r="AA6" i="1"/>
  <c r="AB6" i="1"/>
  <c r="AD6" i="1" s="1"/>
  <c r="AC6" i="1"/>
  <c r="AA7" i="1"/>
  <c r="AB7" i="1"/>
  <c r="AC7" i="1"/>
  <c r="AD7" i="1"/>
  <c r="AA8" i="1"/>
  <c r="AB8" i="1"/>
  <c r="AD8" i="1" s="1"/>
  <c r="AC8" i="1"/>
  <c r="AA9" i="1"/>
  <c r="AB9" i="1"/>
  <c r="AD9" i="1" s="1"/>
  <c r="AC9" i="1"/>
  <c r="AA10" i="1"/>
  <c r="AB10" i="1"/>
  <c r="AD10" i="1" s="1"/>
  <c r="AC10" i="1"/>
  <c r="AA11" i="1"/>
  <c r="AB11" i="1"/>
  <c r="AC11" i="1"/>
  <c r="AD11" i="1"/>
  <c r="AA12" i="1"/>
  <c r="AB12" i="1"/>
  <c r="AD12" i="1" s="1"/>
  <c r="AC12" i="1"/>
  <c r="AA13" i="1"/>
  <c r="AB13" i="1"/>
  <c r="AC13" i="1"/>
  <c r="AD13" i="1"/>
  <c r="AA14" i="1"/>
  <c r="AB14" i="1"/>
  <c r="AD14" i="1" s="1"/>
  <c r="AC14" i="1"/>
  <c r="AA15" i="1"/>
  <c r="AB15" i="1"/>
  <c r="AC15" i="1"/>
  <c r="AD15" i="1"/>
  <c r="AA16" i="1"/>
  <c r="AB16" i="1"/>
  <c r="AD16" i="1" s="1"/>
  <c r="AC16" i="1"/>
  <c r="AA17" i="1"/>
  <c r="AB17" i="1"/>
  <c r="AC17" i="1"/>
  <c r="AD17" i="1"/>
  <c r="AA18" i="1"/>
  <c r="AB18" i="1"/>
  <c r="AD18" i="1" s="1"/>
  <c r="AC18" i="1"/>
  <c r="AA19" i="1"/>
  <c r="AB19" i="1"/>
  <c r="AC19" i="1"/>
  <c r="AD19" i="1"/>
  <c r="AA20" i="1"/>
  <c r="AB20" i="1"/>
  <c r="AD20" i="1" s="1"/>
  <c r="AC20" i="1"/>
  <c r="AA21" i="1"/>
  <c r="AB21" i="1"/>
  <c r="AC21" i="1"/>
  <c r="AD21" i="1"/>
  <c r="AA22" i="1"/>
  <c r="AB22" i="1"/>
  <c r="AD22" i="1" s="1"/>
  <c r="AC22" i="1"/>
  <c r="AA23" i="1"/>
  <c r="AB23" i="1"/>
  <c r="AC23" i="1"/>
  <c r="AD23" i="1"/>
  <c r="AA24" i="1"/>
  <c r="AB24" i="1"/>
  <c r="AD24" i="1" s="1"/>
  <c r="AC24" i="1"/>
  <c r="AA25" i="1"/>
  <c r="AB25" i="1"/>
  <c r="AC25" i="1"/>
  <c r="AD25" i="1"/>
  <c r="AA26" i="1"/>
  <c r="AB26" i="1"/>
  <c r="AD26" i="1" s="1"/>
  <c r="AC26" i="1"/>
  <c r="AA27" i="1"/>
  <c r="AB27" i="1"/>
  <c r="AC27" i="1"/>
  <c r="AD27" i="1"/>
  <c r="AA28" i="1"/>
  <c r="AB28" i="1"/>
  <c r="AD28" i="1" s="1"/>
  <c r="AC28" i="1"/>
  <c r="AA29" i="1"/>
  <c r="AB29" i="1"/>
  <c r="AC29" i="1"/>
  <c r="AD29" i="1"/>
  <c r="AA30" i="1"/>
  <c r="AB30" i="1"/>
  <c r="AD30" i="1" s="1"/>
  <c r="AC30" i="1"/>
  <c r="AA31" i="1"/>
  <c r="AB31" i="1"/>
  <c r="AC31" i="1"/>
  <c r="AD31" i="1"/>
  <c r="AA32" i="1"/>
  <c r="AB32" i="1"/>
  <c r="AD32" i="1" s="1"/>
  <c r="AC32" i="1"/>
  <c r="AA33" i="1"/>
  <c r="AB33" i="1"/>
  <c r="AC33" i="1"/>
  <c r="AD33" i="1"/>
  <c r="AA34" i="1"/>
  <c r="AB34" i="1"/>
  <c r="AD34" i="1" s="1"/>
  <c r="AC34" i="1"/>
  <c r="AA35" i="1"/>
  <c r="AB35" i="1"/>
  <c r="AC35" i="1"/>
  <c r="AD35" i="1"/>
  <c r="AA36" i="1"/>
  <c r="AB36" i="1"/>
  <c r="AD36" i="1" s="1"/>
  <c r="AC36" i="1"/>
  <c r="AA37" i="1"/>
  <c r="AB37" i="1"/>
  <c r="AC37" i="1"/>
  <c r="AD37" i="1"/>
  <c r="AA38" i="1"/>
  <c r="AB38" i="1"/>
  <c r="AD38" i="1" s="1"/>
  <c r="AC38" i="1"/>
  <c r="AA39" i="1"/>
  <c r="AB39" i="1"/>
  <c r="AC39" i="1"/>
  <c r="AD39" i="1"/>
  <c r="AA40" i="1"/>
  <c r="AB40" i="1"/>
  <c r="AD40" i="1" s="1"/>
  <c r="AC40" i="1"/>
  <c r="AA41" i="1"/>
  <c r="AB41" i="1"/>
  <c r="AC41" i="1"/>
  <c r="AD41" i="1"/>
  <c r="AA42" i="1"/>
  <c r="AB42" i="1"/>
  <c r="AD42" i="1" s="1"/>
  <c r="AC42" i="1"/>
  <c r="AA43" i="1"/>
  <c r="AB43" i="1"/>
  <c r="AC43" i="1"/>
  <c r="AD43" i="1"/>
  <c r="AA44" i="1"/>
  <c r="AB44" i="1"/>
  <c r="AD44" i="1" s="1"/>
  <c r="AC44" i="1"/>
  <c r="AA45" i="1"/>
  <c r="AB45" i="1"/>
  <c r="AC45" i="1"/>
  <c r="AD45" i="1"/>
  <c r="AA46" i="1"/>
  <c r="AB46" i="1"/>
  <c r="AD46" i="1" s="1"/>
  <c r="AC46" i="1"/>
  <c r="AA47" i="1"/>
  <c r="AB47" i="1"/>
  <c r="AC47" i="1"/>
  <c r="AD47" i="1"/>
  <c r="AA48" i="1"/>
  <c r="AB48" i="1"/>
  <c r="AD48" i="1" s="1"/>
  <c r="AC48" i="1"/>
  <c r="AA49" i="1"/>
  <c r="AB49" i="1"/>
  <c r="AC49" i="1"/>
  <c r="AD49" i="1"/>
  <c r="AA50" i="1"/>
  <c r="AB50" i="1"/>
  <c r="AD50" i="1" s="1"/>
  <c r="AC50" i="1"/>
  <c r="AA51" i="1"/>
  <c r="AB51" i="1"/>
  <c r="AC51" i="1"/>
  <c r="AD51" i="1"/>
  <c r="AA52" i="1"/>
  <c r="AB52" i="1"/>
  <c r="AD52" i="1" s="1"/>
  <c r="AC52" i="1"/>
  <c r="AA53" i="1"/>
  <c r="AB53" i="1"/>
  <c r="AC53" i="1"/>
  <c r="AD53" i="1"/>
  <c r="AA54" i="1"/>
  <c r="AB54" i="1"/>
  <c r="AD54" i="1" s="1"/>
  <c r="AC54" i="1"/>
  <c r="AA55" i="1"/>
  <c r="AB55" i="1"/>
  <c r="AC55" i="1"/>
  <c r="AD55" i="1"/>
  <c r="AA56" i="1"/>
  <c r="AB56" i="1"/>
  <c r="AD56" i="1" s="1"/>
  <c r="AC56" i="1"/>
  <c r="AA57" i="1"/>
  <c r="AB57" i="1"/>
  <c r="AC57" i="1"/>
  <c r="AD57" i="1"/>
  <c r="AA58" i="1"/>
  <c r="AB58" i="1"/>
  <c r="AD58" i="1" s="1"/>
  <c r="AC58" i="1"/>
  <c r="AA59" i="1"/>
  <c r="AB59" i="1"/>
  <c r="AC59" i="1"/>
  <c r="AD59" i="1"/>
  <c r="AA60" i="1"/>
  <c r="AB60" i="1"/>
  <c r="AD60" i="1" s="1"/>
  <c r="AC60" i="1"/>
  <c r="AA61" i="1"/>
  <c r="AB61" i="1"/>
  <c r="AC61" i="1"/>
  <c r="AD61" i="1"/>
  <c r="AA62" i="1"/>
  <c r="AB62" i="1"/>
  <c r="AD62" i="1" s="1"/>
  <c r="AC62" i="1"/>
  <c r="AA63" i="1"/>
  <c r="AB63" i="1"/>
  <c r="AC63" i="1"/>
  <c r="AD63" i="1"/>
  <c r="AA64" i="1"/>
  <c r="AB64" i="1"/>
  <c r="AD64" i="1" s="1"/>
  <c r="AC64" i="1"/>
  <c r="AA65" i="1"/>
  <c r="AB65" i="1"/>
  <c r="AC65" i="1"/>
  <c r="AD65" i="1"/>
  <c r="AA66" i="1"/>
  <c r="AB66" i="1"/>
  <c r="AD66" i="1" s="1"/>
  <c r="AC66" i="1"/>
  <c r="AA67" i="1"/>
  <c r="AB67" i="1"/>
  <c r="AC67" i="1"/>
  <c r="AD67" i="1"/>
  <c r="AA68" i="1"/>
  <c r="AB68" i="1"/>
  <c r="AD68" i="1" s="1"/>
  <c r="AC68" i="1"/>
  <c r="AA69" i="1"/>
  <c r="AB69" i="1"/>
  <c r="AC69" i="1"/>
  <c r="AD69" i="1"/>
  <c r="AA70" i="1"/>
  <c r="AB70" i="1"/>
  <c r="AD70" i="1" s="1"/>
  <c r="AC70" i="1"/>
  <c r="AA71" i="1"/>
  <c r="AB71" i="1"/>
  <c r="AC71" i="1"/>
  <c r="AD71" i="1"/>
  <c r="AA72" i="1"/>
  <c r="AB72" i="1"/>
  <c r="AD72" i="1" s="1"/>
  <c r="AC72" i="1"/>
  <c r="AA73" i="1"/>
  <c r="AB73" i="1"/>
  <c r="AC73" i="1"/>
  <c r="AD73" i="1"/>
  <c r="AA74" i="1"/>
  <c r="AB74" i="1"/>
  <c r="AD74" i="1" s="1"/>
  <c r="AC74" i="1"/>
  <c r="AA75" i="1"/>
  <c r="AB75" i="1"/>
  <c r="AC75" i="1"/>
  <c r="AD75" i="1"/>
  <c r="AA76" i="1"/>
  <c r="AB76" i="1"/>
  <c r="AD76" i="1" s="1"/>
  <c r="AC76" i="1"/>
  <c r="AA77" i="1"/>
  <c r="AB77" i="1"/>
  <c r="AC77" i="1"/>
  <c r="AD77" i="1"/>
  <c r="AA78" i="1"/>
  <c r="AB78" i="1"/>
  <c r="AD78" i="1" s="1"/>
  <c r="AC78" i="1"/>
  <c r="AA79" i="1"/>
  <c r="AB79" i="1"/>
  <c r="AC79" i="1"/>
  <c r="AD79" i="1"/>
  <c r="AA80" i="1"/>
  <c r="AB80" i="1"/>
  <c r="AD80" i="1" s="1"/>
  <c r="AC80" i="1"/>
  <c r="AA81" i="1"/>
  <c r="AB81" i="1"/>
  <c r="AC81" i="1"/>
  <c r="AD81" i="1"/>
  <c r="AA82" i="1"/>
  <c r="AB82" i="1"/>
  <c r="AC82" i="1"/>
  <c r="AA83" i="1"/>
  <c r="AB83" i="1"/>
  <c r="AC83" i="1"/>
  <c r="AD83" i="1"/>
  <c r="AA84" i="1"/>
  <c r="AB84" i="1"/>
  <c r="AC84" i="1"/>
  <c r="AA85" i="1"/>
  <c r="AB85" i="1"/>
  <c r="AC85" i="1"/>
  <c r="AD85" i="1"/>
  <c r="AA86" i="1"/>
  <c r="AB86" i="1"/>
  <c r="AD86" i="1" s="1"/>
  <c r="AC86" i="1"/>
  <c r="AA87" i="1"/>
  <c r="AB87" i="1"/>
  <c r="AC87" i="1"/>
  <c r="AD87" i="1"/>
  <c r="AA88" i="1"/>
  <c r="AB88" i="1"/>
  <c r="AD88" i="1" s="1"/>
  <c r="AC88" i="1"/>
  <c r="AA89" i="1"/>
  <c r="AB89" i="1"/>
  <c r="AC89" i="1"/>
  <c r="AD89" i="1"/>
  <c r="AA90" i="1"/>
  <c r="AB90" i="1"/>
  <c r="AC90" i="1"/>
  <c r="AA91" i="1"/>
  <c r="AB91" i="1"/>
  <c r="AC91" i="1"/>
  <c r="AD91" i="1"/>
  <c r="AA92" i="1"/>
  <c r="AB92" i="1"/>
  <c r="AD92" i="1" s="1"/>
  <c r="AC92" i="1"/>
  <c r="AA93" i="1"/>
  <c r="AB93" i="1"/>
  <c r="AC93" i="1"/>
  <c r="AD93" i="1"/>
  <c r="AA94" i="1"/>
  <c r="AB94" i="1"/>
  <c r="AD94" i="1" s="1"/>
  <c r="AC94" i="1"/>
  <c r="AA95" i="1"/>
  <c r="AB95" i="1"/>
  <c r="AC95" i="1"/>
  <c r="AD95" i="1"/>
  <c r="AA96" i="1"/>
  <c r="AB96" i="1"/>
  <c r="AD96" i="1" s="1"/>
  <c r="AC96" i="1"/>
  <c r="AA97" i="1"/>
  <c r="AB97" i="1"/>
  <c r="AC97" i="1"/>
  <c r="AD97" i="1"/>
  <c r="AA98" i="1"/>
  <c r="AB98" i="1"/>
  <c r="AC98" i="1"/>
  <c r="AA99" i="1"/>
  <c r="AB99" i="1"/>
  <c r="AC99" i="1"/>
  <c r="AD99" i="1"/>
  <c r="AA100" i="1"/>
  <c r="AB100" i="1"/>
  <c r="AC100" i="1"/>
  <c r="AA101" i="1"/>
  <c r="AB101" i="1"/>
  <c r="AD101" i="1" s="1"/>
  <c r="AC101" i="1"/>
  <c r="AA102" i="1"/>
  <c r="AB102" i="1"/>
  <c r="AD102" i="1" s="1"/>
  <c r="AC102" i="1"/>
  <c r="AA103" i="1"/>
  <c r="AB103" i="1"/>
  <c r="AD103" i="1" s="1"/>
  <c r="AC103" i="1"/>
  <c r="AA104" i="1"/>
  <c r="AB104" i="1"/>
  <c r="AD104" i="1" s="1"/>
  <c r="AC104" i="1"/>
  <c r="AA105" i="1"/>
  <c r="AB105" i="1"/>
  <c r="AC105" i="1"/>
  <c r="AD105" i="1" s="1"/>
  <c r="AA106" i="1"/>
  <c r="AB106" i="1"/>
  <c r="AC106" i="1"/>
  <c r="AA107" i="1"/>
  <c r="AB107" i="1"/>
  <c r="AC107" i="1"/>
  <c r="AD107" i="1"/>
  <c r="AA108" i="1"/>
  <c r="AB108" i="1"/>
  <c r="AD108" i="1" s="1"/>
  <c r="AC108" i="1"/>
  <c r="AA109" i="1"/>
  <c r="AB109" i="1"/>
  <c r="AD109" i="1" s="1"/>
  <c r="AC109" i="1"/>
  <c r="AA110" i="1"/>
  <c r="AB110" i="1"/>
  <c r="AD110" i="1" s="1"/>
  <c r="AC110" i="1"/>
  <c r="AA111" i="1"/>
  <c r="AB111" i="1"/>
  <c r="AD111" i="1" s="1"/>
  <c r="AC111" i="1"/>
  <c r="AA112" i="1"/>
  <c r="AB112" i="1"/>
  <c r="AD112" i="1" s="1"/>
  <c r="AC112" i="1"/>
  <c r="AA113" i="1"/>
  <c r="AB113" i="1"/>
  <c r="AC113" i="1"/>
  <c r="AD113" i="1" s="1"/>
  <c r="AA114" i="1"/>
  <c r="AB114" i="1"/>
  <c r="AC114" i="1"/>
  <c r="AA115" i="1"/>
  <c r="AB115" i="1"/>
  <c r="AC115" i="1"/>
  <c r="AD115" i="1"/>
  <c r="AA116" i="1"/>
  <c r="AB116" i="1"/>
  <c r="AC116" i="1"/>
  <c r="AA117" i="1"/>
  <c r="AB117" i="1"/>
  <c r="AD117" i="1" s="1"/>
  <c r="AC117" i="1"/>
  <c r="AA118" i="1"/>
  <c r="AB118" i="1"/>
  <c r="AD118" i="1" s="1"/>
  <c r="AC118" i="1"/>
  <c r="AA119" i="1"/>
  <c r="AB119" i="1"/>
  <c r="AD119" i="1" s="1"/>
  <c r="AC119" i="1"/>
  <c r="AA120" i="1"/>
  <c r="AB120" i="1"/>
  <c r="AD120" i="1" s="1"/>
  <c r="AC120" i="1"/>
  <c r="AA121" i="1"/>
  <c r="AB121" i="1"/>
  <c r="AC121" i="1"/>
  <c r="AD121" i="1" s="1"/>
  <c r="AA122" i="1"/>
  <c r="AB122" i="1"/>
  <c r="AC122" i="1"/>
  <c r="AA123" i="1"/>
  <c r="AB123" i="1"/>
  <c r="AC123" i="1"/>
  <c r="AD123" i="1"/>
  <c r="AA124" i="1"/>
  <c r="AB124" i="1"/>
  <c r="AD124" i="1" s="1"/>
  <c r="AC124" i="1"/>
  <c r="AA125" i="1"/>
  <c r="AB125" i="1"/>
  <c r="AD125" i="1" s="1"/>
  <c r="AC125" i="1"/>
  <c r="AA126" i="1"/>
  <c r="AB126" i="1"/>
  <c r="AD126" i="1" s="1"/>
  <c r="AC126" i="1"/>
  <c r="AA127" i="1"/>
  <c r="AB127" i="1"/>
  <c r="AD127" i="1" s="1"/>
  <c r="AC127" i="1"/>
  <c r="AA128" i="1"/>
  <c r="AB128" i="1"/>
  <c r="AD128" i="1" s="1"/>
  <c r="AC128" i="1"/>
  <c r="AA129" i="1"/>
  <c r="AB129" i="1"/>
  <c r="AC129" i="1"/>
  <c r="AD129" i="1" s="1"/>
  <c r="AA130" i="1"/>
  <c r="AB130" i="1"/>
  <c r="AC130" i="1"/>
  <c r="AA131" i="1"/>
  <c r="AB131" i="1"/>
  <c r="AC131" i="1"/>
  <c r="AD131" i="1"/>
  <c r="AA132" i="1"/>
  <c r="AB132" i="1"/>
  <c r="AC132" i="1"/>
  <c r="AA133" i="1"/>
  <c r="AB133" i="1"/>
  <c r="AD133" i="1" s="1"/>
  <c r="AC133" i="1"/>
  <c r="AA134" i="1"/>
  <c r="AB134" i="1"/>
  <c r="AD134" i="1" s="1"/>
  <c r="AC134" i="1"/>
  <c r="AA135" i="1"/>
  <c r="AB135" i="1"/>
  <c r="AD135" i="1" s="1"/>
  <c r="AC135" i="1"/>
  <c r="AA136" i="1"/>
  <c r="AB136" i="1"/>
  <c r="AD136" i="1" s="1"/>
  <c r="AC136" i="1"/>
  <c r="AA137" i="1"/>
  <c r="AB137" i="1"/>
  <c r="AC137" i="1"/>
  <c r="AD137" i="1" s="1"/>
  <c r="AA138" i="1"/>
  <c r="AB138" i="1"/>
  <c r="AC138" i="1"/>
  <c r="AA139" i="1"/>
  <c r="AB139" i="1"/>
  <c r="AC139" i="1"/>
  <c r="AD139" i="1"/>
  <c r="AA140" i="1"/>
  <c r="AB140" i="1"/>
  <c r="AD140" i="1" s="1"/>
  <c r="AC140" i="1"/>
  <c r="AA141" i="1"/>
  <c r="AB141" i="1"/>
  <c r="AD141" i="1" s="1"/>
  <c r="AC141" i="1"/>
  <c r="AA142" i="1"/>
  <c r="AB142" i="1"/>
  <c r="AD142" i="1" s="1"/>
  <c r="AC142" i="1"/>
  <c r="AA143" i="1"/>
  <c r="AB143" i="1"/>
  <c r="AD143" i="1" s="1"/>
  <c r="AC143" i="1"/>
  <c r="AA144" i="1"/>
  <c r="AB144" i="1"/>
  <c r="AD144" i="1" s="1"/>
  <c r="AC144" i="1"/>
  <c r="AA145" i="1"/>
  <c r="AB145" i="1"/>
  <c r="AC145" i="1"/>
  <c r="AD145" i="1" s="1"/>
  <c r="AA146" i="1"/>
  <c r="AB146" i="1"/>
  <c r="AC146" i="1"/>
  <c r="AA147" i="1"/>
  <c r="AB147" i="1"/>
  <c r="AC147" i="1"/>
  <c r="AD147" i="1"/>
  <c r="AA148" i="1"/>
  <c r="AB148" i="1"/>
  <c r="AC148" i="1"/>
  <c r="AA149" i="1"/>
  <c r="AB149" i="1"/>
  <c r="AD149" i="1" s="1"/>
  <c r="AC149" i="1"/>
  <c r="AA150" i="1"/>
  <c r="AB150" i="1"/>
  <c r="AD150" i="1" s="1"/>
  <c r="AC150" i="1"/>
  <c r="AA151" i="1"/>
  <c r="AB151" i="1"/>
  <c r="AD151" i="1" s="1"/>
  <c r="AC151" i="1"/>
  <c r="AA152" i="1"/>
  <c r="AB152" i="1"/>
  <c r="AD152" i="1" s="1"/>
  <c r="AC152" i="1"/>
  <c r="AA153" i="1"/>
  <c r="AB153" i="1"/>
  <c r="AC153" i="1"/>
  <c r="AD153" i="1" s="1"/>
  <c r="AA154" i="1"/>
  <c r="AB154" i="1"/>
  <c r="AC154" i="1"/>
  <c r="AA155" i="1"/>
  <c r="AB155" i="1"/>
  <c r="AC155" i="1"/>
  <c r="AD155" i="1"/>
  <c r="AA156" i="1"/>
  <c r="AB156" i="1"/>
  <c r="AD156" i="1" s="1"/>
  <c r="AC156" i="1"/>
  <c r="AA157" i="1"/>
  <c r="AB157" i="1"/>
  <c r="AD157" i="1" s="1"/>
  <c r="AC157" i="1"/>
  <c r="AA158" i="1"/>
  <c r="AB158" i="1"/>
  <c r="AD158" i="1" s="1"/>
  <c r="AC158" i="1"/>
  <c r="AA159" i="1"/>
  <c r="AB159" i="1"/>
  <c r="AD159" i="1" s="1"/>
  <c r="AC159" i="1"/>
  <c r="AA160" i="1"/>
  <c r="AB160" i="1"/>
  <c r="AD160" i="1" s="1"/>
  <c r="AC160" i="1"/>
  <c r="AA161" i="1"/>
  <c r="AB161" i="1"/>
  <c r="AC161" i="1"/>
  <c r="AD161" i="1" s="1"/>
  <c r="AA162" i="1"/>
  <c r="AB162" i="1"/>
  <c r="AC162" i="1"/>
  <c r="AA163" i="1"/>
  <c r="AB163" i="1"/>
  <c r="AC163" i="1"/>
  <c r="AD163" i="1"/>
  <c r="AA164" i="1"/>
  <c r="AB164" i="1"/>
  <c r="AC164" i="1"/>
  <c r="AA165" i="1"/>
  <c r="AB165" i="1"/>
  <c r="AD165" i="1" s="1"/>
  <c r="AC165" i="1"/>
  <c r="AA166" i="1"/>
  <c r="AB166" i="1"/>
  <c r="AD166" i="1" s="1"/>
  <c r="AC166" i="1"/>
  <c r="AA167" i="1"/>
  <c r="AB167" i="1"/>
  <c r="AD167" i="1" s="1"/>
  <c r="AC167" i="1"/>
  <c r="AA168" i="1"/>
  <c r="AB168" i="1"/>
  <c r="AD168" i="1" s="1"/>
  <c r="AC168" i="1"/>
  <c r="AA169" i="1"/>
  <c r="AB169" i="1"/>
  <c r="AC169" i="1"/>
  <c r="AA170" i="1"/>
  <c r="AB170" i="1"/>
  <c r="AC170" i="1"/>
  <c r="AA171" i="1"/>
  <c r="AB171" i="1"/>
  <c r="AC171" i="1"/>
  <c r="AD171" i="1"/>
  <c r="AA172" i="1"/>
  <c r="AB172" i="1"/>
  <c r="AD172" i="1" s="1"/>
  <c r="AC172" i="1"/>
  <c r="AA173" i="1"/>
  <c r="AB173" i="1"/>
  <c r="AD173" i="1" s="1"/>
  <c r="AC173" i="1"/>
  <c r="AA174" i="1"/>
  <c r="AB174" i="1"/>
  <c r="AD174" i="1" s="1"/>
  <c r="AC174" i="1"/>
  <c r="AA175" i="1"/>
  <c r="AB175" i="1"/>
  <c r="AD175" i="1" s="1"/>
  <c r="AC175" i="1"/>
  <c r="AA176" i="1"/>
  <c r="AB176" i="1"/>
  <c r="AD176" i="1" s="1"/>
  <c r="AC176" i="1"/>
  <c r="AA177" i="1"/>
  <c r="AB177" i="1"/>
  <c r="AD177" i="1" s="1"/>
  <c r="AC177" i="1"/>
  <c r="AA178" i="1"/>
  <c r="AB178" i="1"/>
  <c r="AD178" i="1" s="1"/>
  <c r="AC178" i="1"/>
  <c r="AA179" i="1"/>
  <c r="AB179" i="1"/>
  <c r="AD179" i="1" s="1"/>
  <c r="AC179" i="1"/>
  <c r="AA180" i="1"/>
  <c r="AB180" i="1"/>
  <c r="AD180" i="1" s="1"/>
  <c r="AC180" i="1"/>
  <c r="AA181" i="1"/>
  <c r="AB181" i="1"/>
  <c r="AD181" i="1" s="1"/>
  <c r="AC181" i="1"/>
  <c r="AA182" i="1"/>
  <c r="AB182" i="1"/>
  <c r="AD182" i="1" s="1"/>
  <c r="AC182" i="1"/>
  <c r="AA183" i="1"/>
  <c r="AB183" i="1"/>
  <c r="AD183" i="1" s="1"/>
  <c r="AC183" i="1"/>
  <c r="AA184" i="1"/>
  <c r="AB184" i="1"/>
  <c r="AD184" i="1" s="1"/>
  <c r="AC184" i="1"/>
  <c r="AA185" i="1"/>
  <c r="AB185" i="1"/>
  <c r="AD185" i="1" s="1"/>
  <c r="AC185" i="1"/>
  <c r="AA186" i="1"/>
  <c r="AB186" i="1"/>
  <c r="AD186" i="1" s="1"/>
  <c r="AC186" i="1"/>
  <c r="AA187" i="1"/>
  <c r="AB187" i="1"/>
  <c r="AD187" i="1" s="1"/>
  <c r="AC187" i="1"/>
  <c r="AA188" i="1"/>
  <c r="AB188" i="1"/>
  <c r="AD188" i="1" s="1"/>
  <c r="AC188" i="1"/>
  <c r="AA189" i="1"/>
  <c r="AB189" i="1"/>
  <c r="AD189" i="1" s="1"/>
  <c r="AC189" i="1"/>
  <c r="AA190" i="1"/>
  <c r="AB190" i="1"/>
  <c r="AD190" i="1" s="1"/>
  <c r="AC190" i="1"/>
  <c r="AA191" i="1"/>
  <c r="AB191" i="1"/>
  <c r="AD191" i="1" s="1"/>
  <c r="AC191" i="1"/>
  <c r="AA192" i="1"/>
  <c r="AB192" i="1"/>
  <c r="AD192" i="1" s="1"/>
  <c r="AC192" i="1"/>
  <c r="AA193" i="1"/>
  <c r="AB193" i="1"/>
  <c r="AD193" i="1" s="1"/>
  <c r="AC193" i="1"/>
  <c r="AA194" i="1"/>
  <c r="AB194" i="1"/>
  <c r="AD194" i="1" s="1"/>
  <c r="AC194" i="1"/>
  <c r="AA195" i="1"/>
  <c r="AB195" i="1"/>
  <c r="AD195" i="1" s="1"/>
  <c r="AC195" i="1"/>
  <c r="AA196" i="1"/>
  <c r="AB196" i="1"/>
  <c r="AD196" i="1" s="1"/>
  <c r="AC196" i="1"/>
  <c r="AA197" i="1"/>
  <c r="AB197" i="1"/>
  <c r="AD197" i="1" s="1"/>
  <c r="AC197" i="1"/>
  <c r="AA198" i="1"/>
  <c r="AB198" i="1"/>
  <c r="AD198" i="1" s="1"/>
  <c r="AC198" i="1"/>
  <c r="AA199" i="1"/>
  <c r="AB199" i="1"/>
  <c r="AD199" i="1" s="1"/>
  <c r="AC199" i="1"/>
  <c r="AA200" i="1"/>
  <c r="AB200" i="1"/>
  <c r="AD200" i="1" s="1"/>
  <c r="AC200" i="1"/>
  <c r="AA201" i="1"/>
  <c r="AB201" i="1"/>
  <c r="AD201" i="1" s="1"/>
  <c r="AC201" i="1"/>
  <c r="AA202" i="1"/>
  <c r="AB202" i="1"/>
  <c r="AD202" i="1" s="1"/>
  <c r="AC202" i="1"/>
  <c r="AA203" i="1"/>
  <c r="AB203" i="1"/>
  <c r="AD203" i="1" s="1"/>
  <c r="AC203" i="1"/>
  <c r="AA204" i="1"/>
  <c r="AB204" i="1"/>
  <c r="AD204" i="1" s="1"/>
  <c r="AC204" i="1"/>
  <c r="AA205" i="1"/>
  <c r="AB205" i="1"/>
  <c r="AD205" i="1" s="1"/>
  <c r="AC205" i="1"/>
  <c r="AA206" i="1"/>
  <c r="AB206" i="1"/>
  <c r="AD206" i="1" s="1"/>
  <c r="AC206" i="1"/>
  <c r="AA207" i="1"/>
  <c r="AB207" i="1"/>
  <c r="AD207" i="1" s="1"/>
  <c r="AC207" i="1"/>
  <c r="AA208" i="1"/>
  <c r="AB208" i="1"/>
  <c r="AD208" i="1" s="1"/>
  <c r="AC208" i="1"/>
  <c r="AA209" i="1"/>
  <c r="AB209" i="1"/>
  <c r="AD209" i="1" s="1"/>
  <c r="AC209" i="1"/>
  <c r="AA210" i="1"/>
  <c r="AB210" i="1"/>
  <c r="AD210" i="1" s="1"/>
  <c r="AC210" i="1"/>
  <c r="AA211" i="1"/>
  <c r="AB211" i="1"/>
  <c r="AD211" i="1" s="1"/>
  <c r="AC211" i="1"/>
  <c r="AA212" i="1"/>
  <c r="AB212" i="1"/>
  <c r="AD212" i="1" s="1"/>
  <c r="AC212" i="1"/>
  <c r="AA213" i="1"/>
  <c r="AB213" i="1"/>
  <c r="AD213" i="1" s="1"/>
  <c r="AC213" i="1"/>
  <c r="AA214" i="1"/>
  <c r="AB214" i="1"/>
  <c r="AD214" i="1" s="1"/>
  <c r="AC214" i="1"/>
  <c r="AA215" i="1"/>
  <c r="AB215" i="1"/>
  <c r="AD215" i="1" s="1"/>
  <c r="AC215" i="1"/>
  <c r="AA216" i="1"/>
  <c r="AB216" i="1"/>
  <c r="AD216" i="1" s="1"/>
  <c r="AC216" i="1"/>
  <c r="AA217" i="1"/>
  <c r="AB217" i="1"/>
  <c r="AD217" i="1" s="1"/>
  <c r="AC217" i="1"/>
  <c r="AA218" i="1"/>
  <c r="AB218" i="1"/>
  <c r="AD218" i="1" s="1"/>
  <c r="AC218" i="1"/>
  <c r="AA219" i="1"/>
  <c r="AB219" i="1"/>
  <c r="AD219" i="1" s="1"/>
  <c r="AC219" i="1"/>
  <c r="AA220" i="1"/>
  <c r="AB220" i="1"/>
  <c r="AD220" i="1" s="1"/>
  <c r="AC220" i="1"/>
  <c r="AA221" i="1"/>
  <c r="AB221" i="1"/>
  <c r="AD221" i="1" s="1"/>
  <c r="AC221" i="1"/>
  <c r="AA222" i="1"/>
  <c r="AB222" i="1"/>
  <c r="AD222" i="1" s="1"/>
  <c r="AC222" i="1"/>
  <c r="AA223" i="1"/>
  <c r="AB223" i="1"/>
  <c r="AD223" i="1" s="1"/>
  <c r="AC223" i="1"/>
  <c r="AA224" i="1"/>
  <c r="AB224" i="1"/>
  <c r="AD224" i="1" s="1"/>
  <c r="AC224" i="1"/>
  <c r="AA225" i="1"/>
  <c r="AB225" i="1"/>
  <c r="AD225" i="1" s="1"/>
  <c r="AC225" i="1"/>
  <c r="AA226" i="1"/>
  <c r="AB226" i="1"/>
  <c r="AD226" i="1" s="1"/>
  <c r="AC226" i="1"/>
  <c r="AA227" i="1"/>
  <c r="AB227" i="1"/>
  <c r="AD227" i="1" s="1"/>
  <c r="AC227" i="1"/>
  <c r="AA228" i="1"/>
  <c r="AB228" i="1"/>
  <c r="AD228" i="1" s="1"/>
  <c r="AC228" i="1"/>
  <c r="AA229" i="1"/>
  <c r="AB229" i="1"/>
  <c r="AD229" i="1" s="1"/>
  <c r="AC229" i="1"/>
  <c r="AA230" i="1"/>
  <c r="AB230" i="1"/>
  <c r="AD230" i="1" s="1"/>
  <c r="AC230" i="1"/>
  <c r="AA231" i="1"/>
  <c r="AB231" i="1"/>
  <c r="AD231" i="1" s="1"/>
  <c r="AC231" i="1"/>
  <c r="AA232" i="1"/>
  <c r="AB232" i="1"/>
  <c r="AD232" i="1" s="1"/>
  <c r="AC232" i="1"/>
  <c r="AA233" i="1"/>
  <c r="AB233" i="1"/>
  <c r="AD233" i="1" s="1"/>
  <c r="AC233" i="1"/>
  <c r="AA234" i="1"/>
  <c r="AB234" i="1"/>
  <c r="AC234" i="1"/>
  <c r="AD234" i="1"/>
  <c r="AA235" i="1"/>
  <c r="AB235" i="1"/>
  <c r="AD235" i="1" s="1"/>
  <c r="AC235" i="1"/>
  <c r="AA236" i="1"/>
  <c r="AB236" i="1"/>
  <c r="AC236" i="1"/>
  <c r="AD236" i="1"/>
  <c r="AA237" i="1"/>
  <c r="AB237" i="1"/>
  <c r="AD237" i="1" s="1"/>
  <c r="AC237" i="1"/>
  <c r="AA238" i="1"/>
  <c r="AB238" i="1"/>
  <c r="AC238" i="1"/>
  <c r="AD238" i="1"/>
  <c r="AA239" i="1"/>
  <c r="AB239" i="1"/>
  <c r="AD239" i="1" s="1"/>
  <c r="AC239" i="1"/>
  <c r="AA240" i="1"/>
  <c r="AB240" i="1"/>
  <c r="AC240" i="1"/>
  <c r="AD240" i="1"/>
  <c r="AA241" i="1"/>
  <c r="AB241" i="1"/>
  <c r="AD241" i="1" s="1"/>
  <c r="AC241" i="1"/>
  <c r="AA242" i="1"/>
  <c r="AB242" i="1"/>
  <c r="AC242" i="1"/>
  <c r="AD242" i="1"/>
  <c r="AA243" i="1"/>
  <c r="AB243" i="1"/>
  <c r="AD243" i="1" s="1"/>
  <c r="AC243" i="1"/>
  <c r="AA244" i="1"/>
  <c r="AB244" i="1"/>
  <c r="AC244" i="1"/>
  <c r="AD244" i="1"/>
  <c r="AA245" i="1"/>
  <c r="AB245" i="1"/>
  <c r="AD245" i="1" s="1"/>
  <c r="AC245" i="1"/>
  <c r="AA246" i="1"/>
  <c r="AB246" i="1"/>
  <c r="AC246" i="1"/>
  <c r="AD246" i="1"/>
  <c r="AA247" i="1"/>
  <c r="AB247" i="1"/>
  <c r="AD247" i="1" s="1"/>
  <c r="AC247" i="1"/>
  <c r="AA248" i="1"/>
  <c r="AB248" i="1"/>
  <c r="AC248" i="1"/>
  <c r="AD248" i="1"/>
  <c r="AA249" i="1"/>
  <c r="AB249" i="1"/>
  <c r="AD249" i="1" s="1"/>
  <c r="AC249" i="1"/>
  <c r="AA250" i="1"/>
  <c r="AB250" i="1"/>
  <c r="AC250" i="1"/>
  <c r="AD250" i="1"/>
  <c r="AA251" i="1"/>
  <c r="AB251" i="1"/>
  <c r="AD251" i="1" s="1"/>
  <c r="AC251" i="1"/>
  <c r="AA252" i="1"/>
  <c r="AB252" i="1"/>
  <c r="AC252" i="1"/>
  <c r="AD252" i="1"/>
  <c r="AA253" i="1"/>
  <c r="AB253" i="1"/>
  <c r="AD253" i="1" s="1"/>
  <c r="AC253" i="1"/>
  <c r="AA254" i="1"/>
  <c r="AB254" i="1"/>
  <c r="AC254" i="1"/>
  <c r="AD254" i="1"/>
  <c r="AA255" i="1"/>
  <c r="AB255" i="1"/>
  <c r="AD255" i="1" s="1"/>
  <c r="AC255" i="1"/>
  <c r="AA256" i="1"/>
  <c r="AB256" i="1"/>
  <c r="AC256" i="1"/>
  <c r="AD256" i="1"/>
  <c r="AA257" i="1"/>
  <c r="AB257" i="1"/>
  <c r="AD257" i="1" s="1"/>
  <c r="AC257" i="1"/>
  <c r="AA258" i="1"/>
  <c r="AB258" i="1"/>
  <c r="AC258" i="1"/>
  <c r="AD258" i="1"/>
  <c r="AA259" i="1"/>
  <c r="AB259" i="1"/>
  <c r="AD259" i="1" s="1"/>
  <c r="AC259" i="1"/>
  <c r="AA260" i="1"/>
  <c r="AB260" i="1"/>
  <c r="AC260" i="1"/>
  <c r="AD260" i="1"/>
  <c r="AA261" i="1"/>
  <c r="AB261" i="1"/>
  <c r="AD261" i="1" s="1"/>
  <c r="AC261" i="1"/>
  <c r="AA262" i="1"/>
  <c r="AB262" i="1"/>
  <c r="AC262" i="1"/>
  <c r="AD262" i="1"/>
  <c r="AA263" i="1"/>
  <c r="AB263" i="1"/>
  <c r="AD263" i="1" s="1"/>
  <c r="AC263" i="1"/>
  <c r="AA264" i="1"/>
  <c r="AB264" i="1"/>
  <c r="AC264" i="1"/>
  <c r="AD264" i="1"/>
  <c r="AA265" i="1"/>
  <c r="AB265" i="1"/>
  <c r="AD265" i="1" s="1"/>
  <c r="AC265" i="1"/>
  <c r="AA266" i="1"/>
  <c r="AB266" i="1"/>
  <c r="AC266" i="1"/>
  <c r="AD266" i="1"/>
  <c r="AA267" i="1"/>
  <c r="AB267" i="1"/>
  <c r="AD267" i="1" s="1"/>
  <c r="AC267" i="1"/>
  <c r="AA268" i="1"/>
  <c r="AB268" i="1"/>
  <c r="AC268" i="1"/>
  <c r="AD268" i="1"/>
  <c r="AA269" i="1"/>
  <c r="AB269" i="1"/>
  <c r="AD269" i="1" s="1"/>
  <c r="AC269" i="1"/>
  <c r="AA270" i="1"/>
  <c r="AB270" i="1"/>
  <c r="AC270" i="1"/>
  <c r="AD270" i="1"/>
  <c r="AA271" i="1"/>
  <c r="AB271" i="1"/>
  <c r="AD271" i="1" s="1"/>
  <c r="AC271" i="1"/>
  <c r="AA272" i="1"/>
  <c r="AB272" i="1"/>
  <c r="AC272" i="1"/>
  <c r="AD27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C164" i="1" s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C191" i="1" s="1"/>
  <c r="D192" i="1"/>
  <c r="D193" i="1"/>
  <c r="D194" i="1"/>
  <c r="D195" i="1"/>
  <c r="D196" i="1"/>
  <c r="C196" i="1" s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AC3" i="1"/>
  <c r="D3" i="1"/>
  <c r="V3" i="1"/>
  <c r="M3" i="1"/>
  <c r="AA3" i="1"/>
  <c r="AB3" i="1"/>
  <c r="R3" i="1"/>
  <c r="T3" i="1"/>
  <c r="S3" i="1"/>
  <c r="K3" i="1"/>
  <c r="J3" i="1"/>
  <c r="I3" i="1"/>
  <c r="AD169" i="1" l="1"/>
  <c r="AD273" i="1"/>
  <c r="R273" i="1"/>
  <c r="U273" i="1"/>
  <c r="J273" i="1"/>
  <c r="I273" i="1"/>
  <c r="AA273" i="1"/>
  <c r="AB273" i="1"/>
  <c r="S273" i="1"/>
  <c r="L170" i="1"/>
  <c r="L154" i="1"/>
  <c r="L138" i="1"/>
  <c r="L122" i="1"/>
  <c r="L106" i="1"/>
  <c r="L90" i="1"/>
  <c r="L158" i="1"/>
  <c r="L142" i="1"/>
  <c r="L126" i="1"/>
  <c r="L110" i="1"/>
  <c r="L94" i="1"/>
  <c r="L78" i="1"/>
  <c r="L160" i="1"/>
  <c r="L144" i="1"/>
  <c r="L128" i="1"/>
  <c r="L112" i="1"/>
  <c r="L96" i="1"/>
  <c r="L80" i="1"/>
  <c r="L164" i="1"/>
  <c r="L148" i="1"/>
  <c r="L132" i="1"/>
  <c r="L116" i="1"/>
  <c r="L100" i="1"/>
  <c r="L84" i="1"/>
  <c r="L166" i="1"/>
  <c r="L150" i="1"/>
  <c r="L134" i="1"/>
  <c r="L118" i="1"/>
  <c r="L102" i="1"/>
  <c r="L86" i="1"/>
  <c r="U170" i="1"/>
  <c r="U154" i="1"/>
  <c r="U138" i="1"/>
  <c r="U122" i="1"/>
  <c r="U106" i="1"/>
  <c r="U90" i="1"/>
  <c r="U172" i="1"/>
  <c r="U156" i="1"/>
  <c r="U140" i="1"/>
  <c r="U124" i="1"/>
  <c r="U108" i="1"/>
  <c r="U92" i="1"/>
  <c r="U158" i="1"/>
  <c r="U142" i="1"/>
  <c r="U126" i="1"/>
  <c r="U110" i="1"/>
  <c r="U94" i="1"/>
  <c r="U162" i="1"/>
  <c r="U146" i="1"/>
  <c r="U130" i="1"/>
  <c r="U114" i="1"/>
  <c r="U98" i="1"/>
  <c r="U82" i="1"/>
  <c r="U166" i="1"/>
  <c r="U150" i="1"/>
  <c r="U134" i="1"/>
  <c r="U118" i="1"/>
  <c r="U102" i="1"/>
  <c r="U86" i="1"/>
  <c r="AD170" i="1"/>
  <c r="AD154" i="1"/>
  <c r="AD138" i="1"/>
  <c r="AD122" i="1"/>
  <c r="AD106" i="1"/>
  <c r="AD90" i="1"/>
  <c r="AD162" i="1"/>
  <c r="AD146" i="1"/>
  <c r="AD130" i="1"/>
  <c r="AD114" i="1"/>
  <c r="AD98" i="1"/>
  <c r="AD82" i="1"/>
  <c r="AD164" i="1"/>
  <c r="AD148" i="1"/>
  <c r="AD132" i="1"/>
  <c r="AD116" i="1"/>
  <c r="AD100" i="1"/>
  <c r="AD84" i="1"/>
  <c r="C198" i="1"/>
  <c r="C190" i="1"/>
  <c r="C188" i="1"/>
  <c r="C182" i="1"/>
  <c r="C180" i="1"/>
  <c r="C174" i="1"/>
  <c r="C172" i="1"/>
  <c r="C166" i="1"/>
  <c r="C159" i="1"/>
  <c r="C158" i="1"/>
  <c r="C156" i="1"/>
  <c r="C150" i="1"/>
  <c r="C148" i="1"/>
  <c r="C142" i="1"/>
  <c r="C140" i="1"/>
  <c r="C185" i="1"/>
  <c r="C169" i="1"/>
  <c r="C273" i="1" s="1"/>
  <c r="C137" i="1"/>
  <c r="C253" i="1"/>
  <c r="C149" i="1"/>
  <c r="C189" i="1"/>
  <c r="C141" i="1"/>
  <c r="C229" i="1"/>
  <c r="C181" i="1"/>
  <c r="C173" i="1"/>
  <c r="C125" i="1"/>
  <c r="C53" i="1"/>
  <c r="C146" i="1"/>
  <c r="C197" i="1"/>
  <c r="C165" i="1"/>
  <c r="C157" i="1"/>
  <c r="C85" i="1"/>
  <c r="C192" i="1"/>
  <c r="C184" i="1"/>
  <c r="C176" i="1"/>
  <c r="C168" i="1"/>
  <c r="C160" i="1"/>
  <c r="C152" i="1"/>
  <c r="C144" i="1"/>
  <c r="C136" i="1"/>
  <c r="C272" i="1"/>
  <c r="C270" i="1"/>
  <c r="C268" i="1"/>
  <c r="C269" i="1"/>
  <c r="C265" i="1"/>
  <c r="C264" i="1"/>
  <c r="C262" i="1"/>
  <c r="C261" i="1"/>
  <c r="C260" i="1"/>
  <c r="C258" i="1"/>
  <c r="C170" i="1"/>
  <c r="C193" i="1"/>
  <c r="C177" i="1"/>
  <c r="C161" i="1"/>
  <c r="C153" i="1"/>
  <c r="C145" i="1"/>
  <c r="C113" i="1"/>
  <c r="C73" i="1"/>
  <c r="C162" i="1"/>
  <c r="C263" i="1"/>
  <c r="C167" i="1"/>
  <c r="C143" i="1"/>
  <c r="C111" i="1"/>
  <c r="C266" i="1"/>
  <c r="C271" i="1"/>
  <c r="C175" i="1"/>
  <c r="C151" i="1"/>
  <c r="C55" i="1"/>
  <c r="C255" i="1"/>
  <c r="C254" i="1"/>
  <c r="C252" i="1"/>
  <c r="C250" i="1"/>
  <c r="C246" i="1"/>
  <c r="C244" i="1"/>
  <c r="C242" i="1"/>
  <c r="C238" i="1"/>
  <c r="C237" i="1"/>
  <c r="C236" i="1"/>
  <c r="C257" i="1"/>
  <c r="C256" i="1"/>
  <c r="C247" i="1"/>
  <c r="C239" i="1"/>
  <c r="C215" i="1"/>
  <c r="C207" i="1"/>
  <c r="C199" i="1"/>
  <c r="C234" i="1"/>
  <c r="C245" i="1"/>
  <c r="C249" i="1"/>
  <c r="C241" i="1"/>
  <c r="C248" i="1"/>
  <c r="C240" i="1"/>
  <c r="C233" i="1"/>
  <c r="C232" i="1"/>
  <c r="C231" i="1"/>
  <c r="C230" i="1"/>
  <c r="C228" i="1"/>
  <c r="C226" i="1"/>
  <c r="C225" i="1"/>
  <c r="C224" i="1"/>
  <c r="C222" i="1"/>
  <c r="C221" i="1"/>
  <c r="C220" i="1"/>
  <c r="C218" i="1"/>
  <c r="C217" i="1"/>
  <c r="C216" i="1"/>
  <c r="C214" i="1"/>
  <c r="C213" i="1"/>
  <c r="C212" i="1"/>
  <c r="C210" i="1"/>
  <c r="C209" i="1"/>
  <c r="C208" i="1"/>
  <c r="C206" i="1"/>
  <c r="C205" i="1"/>
  <c r="C204" i="1"/>
  <c r="C201" i="1"/>
  <c r="C200" i="1"/>
  <c r="C134" i="1"/>
  <c r="C133" i="1"/>
  <c r="C132" i="1"/>
  <c r="C129" i="1"/>
  <c r="C128" i="1"/>
  <c r="C127" i="1"/>
  <c r="C126" i="1"/>
  <c r="C124" i="1"/>
  <c r="C121" i="1"/>
  <c r="C120" i="1"/>
  <c r="C119" i="1"/>
  <c r="C118" i="1"/>
  <c r="C117" i="1"/>
  <c r="C116" i="1"/>
  <c r="C112" i="1"/>
  <c r="C110" i="1"/>
  <c r="C109" i="1"/>
  <c r="C108" i="1"/>
  <c r="C106" i="1"/>
  <c r="C105" i="1"/>
  <c r="C104" i="1"/>
  <c r="C103" i="1"/>
  <c r="C102" i="1"/>
  <c r="C101" i="1"/>
  <c r="C100" i="1"/>
  <c r="C97" i="1"/>
  <c r="C96" i="1"/>
  <c r="C95" i="1"/>
  <c r="C94" i="1"/>
  <c r="C93" i="1"/>
  <c r="C92" i="1"/>
  <c r="C90" i="1"/>
  <c r="C89" i="1"/>
  <c r="C88" i="1"/>
  <c r="C87" i="1"/>
  <c r="C86" i="1"/>
  <c r="C84" i="1"/>
  <c r="C82" i="1"/>
  <c r="C81" i="1"/>
  <c r="C80" i="1"/>
  <c r="C79" i="1"/>
  <c r="C78" i="1"/>
  <c r="C77" i="1"/>
  <c r="C76" i="1"/>
  <c r="C74" i="1"/>
  <c r="C72" i="1"/>
  <c r="C71" i="1"/>
  <c r="C70" i="1"/>
  <c r="C69" i="1"/>
  <c r="C68" i="1"/>
  <c r="C66" i="1"/>
  <c r="C65" i="1"/>
  <c r="C63" i="1"/>
  <c r="C62" i="1"/>
  <c r="C61" i="1"/>
  <c r="C60" i="1"/>
  <c r="C58" i="1"/>
  <c r="C57" i="1"/>
  <c r="C54" i="1"/>
  <c r="C154" i="1"/>
  <c r="C267" i="1"/>
  <c r="C259" i="1"/>
  <c r="C251" i="1"/>
  <c r="C243" i="1"/>
  <c r="C235" i="1"/>
  <c r="C227" i="1"/>
  <c r="C219" i="1"/>
  <c r="C211" i="1"/>
  <c r="C186" i="1"/>
  <c r="C138" i="1"/>
  <c r="C122" i="1"/>
  <c r="C202" i="1"/>
  <c r="C194" i="1"/>
  <c r="C178" i="1"/>
  <c r="C130" i="1"/>
  <c r="C114" i="1"/>
  <c r="C98" i="1"/>
  <c r="C223" i="1"/>
  <c r="C183" i="1"/>
  <c r="C135" i="1"/>
  <c r="C64" i="1"/>
  <c r="C56" i="1"/>
  <c r="C52" i="1"/>
  <c r="C49" i="1"/>
  <c r="C50" i="1"/>
  <c r="C48" i="1"/>
  <c r="C47" i="1"/>
  <c r="C46" i="1"/>
  <c r="C45" i="1"/>
  <c r="C44" i="1"/>
  <c r="C42" i="1"/>
  <c r="C41" i="1"/>
  <c r="C40" i="1"/>
  <c r="C39" i="1"/>
  <c r="C38" i="1"/>
  <c r="C37" i="1"/>
  <c r="C36" i="1"/>
  <c r="C34" i="1"/>
  <c r="C33" i="1"/>
  <c r="C32" i="1"/>
  <c r="C31" i="1"/>
  <c r="C30" i="1"/>
  <c r="C29" i="1"/>
  <c r="C28" i="1"/>
  <c r="C26" i="1"/>
  <c r="C25" i="1"/>
  <c r="C24" i="1"/>
  <c r="C23" i="1"/>
  <c r="C22" i="1"/>
  <c r="C21" i="1"/>
  <c r="C20" i="1"/>
  <c r="C18" i="1"/>
  <c r="C17" i="1"/>
  <c r="C16" i="1"/>
  <c r="C15" i="1"/>
  <c r="C14" i="1"/>
  <c r="C13" i="1"/>
  <c r="C12" i="1"/>
  <c r="C9" i="1"/>
  <c r="C10" i="1"/>
  <c r="C8" i="1"/>
  <c r="C7" i="1"/>
  <c r="C6" i="1"/>
  <c r="C5" i="1"/>
  <c r="C4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AD3" i="1"/>
  <c r="C3" i="1"/>
  <c r="L3" i="1"/>
  <c r="U3" i="1"/>
</calcChain>
</file>

<file path=xl/sharedStrings.xml><?xml version="1.0" encoding="utf-8"?>
<sst xmlns="http://schemas.openxmlformats.org/spreadsheetml/2006/main" count="2823" uniqueCount="342">
  <si>
    <t>DOI</t>
  </si>
  <si>
    <t>Total # of Questions</t>
  </si>
  <si>
    <t>Total</t>
  </si>
  <si>
    <t>TP</t>
  </si>
  <si>
    <t>TN</t>
  </si>
  <si>
    <t>FP</t>
  </si>
  <si>
    <t>FN</t>
  </si>
  <si>
    <t>Precision</t>
  </si>
  <si>
    <t>Recall</t>
  </si>
  <si>
    <t>Accuracy</t>
  </si>
  <si>
    <t>True/False Questions</t>
  </si>
  <si>
    <t>Reasoning Questions</t>
  </si>
  <si>
    <t>F1 Score</t>
  </si>
  <si>
    <t>Factual Questions</t>
  </si>
  <si>
    <t>Publisher</t>
  </si>
  <si>
    <t>./aip/4.0000015</t>
  </si>
  <si>
    <t>AIP</t>
  </si>
  <si>
    <t>./ccs/ccschem.022.202202115</t>
  </si>
  <si>
    <t>./ccs/ccschem.020.202000630</t>
  </si>
  <si>
    <t>CCS</t>
  </si>
  <si>
    <t>./rsc/C3CC43681K</t>
  </si>
  <si>
    <t>./rsc/C3CC48867E</t>
  </si>
  <si>
    <t>./rsc/C3CC48595A</t>
  </si>
  <si>
    <t>./rsc/C3CC48935C</t>
  </si>
  <si>
    <t>./rsc/D3DT00752A</t>
  </si>
  <si>
    <t>./rsc/D1SC04338B</t>
  </si>
  <si>
    <t>./rsc/D3DT00184A</t>
  </si>
  <si>
    <t>./rsc/C3CC43384F</t>
  </si>
  <si>
    <t>./rsc/D3DT00635B</t>
  </si>
  <si>
    <t>./rsc/D3DT00043E</t>
  </si>
  <si>
    <t>./rsc/c3cc40772a</t>
  </si>
  <si>
    <t>./rsc/C3CC45743E</t>
  </si>
  <si>
    <t>./rsc/C3CC43225D</t>
  </si>
  <si>
    <t>./rsc/D1SC07001K</t>
  </si>
  <si>
    <t>./rsc/C3CC43267J</t>
  </si>
  <si>
    <t>./rsc/C3CC46230G</t>
  </si>
  <si>
    <t>./rsc/D1SC00205H</t>
  </si>
  <si>
    <t>./rsc/D1SC05663H</t>
  </si>
  <si>
    <t>./rsc/C3CC45180A</t>
  </si>
  <si>
    <t>./rsc/C3CC42741B</t>
  </si>
  <si>
    <t>./rsc/C3CC44133D</t>
  </si>
  <si>
    <t>./rsc/C3CC49673B</t>
  </si>
  <si>
    <t>RSC</t>
  </si>
  <si>
    <t>./elsevier/j.chempr.2019.10.022</t>
  </si>
  <si>
    <t>./elsevier/j.chempr.2018.05.017</t>
  </si>
  <si>
    <t>./elsevier/j.cej.2021.131891</t>
  </si>
  <si>
    <t>./elsevier/j.chempr.2021.07.007</t>
  </si>
  <si>
    <t>./elsevier/j.chempr.2022.03.023</t>
  </si>
  <si>
    <t>./elsevier/j.cej.2020.124523</t>
  </si>
  <si>
    <t>./elsevier/j.cej.2022.136532</t>
  </si>
  <si>
    <t>./elsevier/j.chempr.2023.02.002</t>
  </si>
  <si>
    <t>./elsevier/j.chempr.2017.07.004</t>
  </si>
  <si>
    <t>Elsevier</t>
  </si>
  <si>
    <t>./aaas/science.1175441</t>
  </si>
  <si>
    <t>./aaas/science.aaf9135</t>
  </si>
  <si>
    <t>./aaas/science.aaf6323</t>
  </si>
  <si>
    <t>./aaas/sciadv.aax9976</t>
  </si>
  <si>
    <t>./aaas/science.1152516</t>
  </si>
  <si>
    <t>AAAS</t>
  </si>
  <si>
    <t>./aps/PhysRevLett.121.117201</t>
  </si>
  <si>
    <t>APS</t>
  </si>
  <si>
    <t>./nature/ncomms5337</t>
  </si>
  <si>
    <t>./nature/nchem.1067</t>
  </si>
  <si>
    <t>./nature/374792a0</t>
  </si>
  <si>
    <t>./nature/s41467-017-01166-3</t>
  </si>
  <si>
    <t>./nature/nature11893</t>
  </si>
  <si>
    <t>./nature/nchem.834</t>
  </si>
  <si>
    <t>./nature/s41467-023-39871-x</t>
  </si>
  <si>
    <t>./nature/s41467-017-02256-y</t>
  </si>
  <si>
    <t>./nature/nchem.1003</t>
  </si>
  <si>
    <t>./nature/s41551-018-0203-4</t>
  </si>
  <si>
    <t>./nature/ncomms5228</t>
  </si>
  <si>
    <t>./nature/NMAT2474</t>
  </si>
  <si>
    <t>./nature/nature11990</t>
  </si>
  <si>
    <t>./nature/s41557-018-0107-7</t>
  </si>
  <si>
    <t>./nature/nmat3343</t>
  </si>
  <si>
    <t>./nature/nmat1827</t>
  </si>
  <si>
    <t>./nature/nchem.2747</t>
  </si>
  <si>
    <t>./nature/nature02311</t>
  </si>
  <si>
    <t>./nature/35010088</t>
  </si>
  <si>
    <t>./nature/378703a0</t>
  </si>
  <si>
    <t>./nature/nphoton.2013.310</t>
  </si>
  <si>
    <t>./nature/s41557-018-0104-x</t>
  </si>
  <si>
    <t>./nature/nmat1927</t>
  </si>
  <si>
    <t>./nature/nature14327</t>
  </si>
  <si>
    <t>./nature/nmat4910</t>
  </si>
  <si>
    <t>./nature/nchem.2718</t>
  </si>
  <si>
    <t>./nature/s41467-017-01208-w</t>
  </si>
  <si>
    <t>./nature/nature15732</t>
  </si>
  <si>
    <t>./nature/s41467-017-02215-7</t>
  </si>
  <si>
    <t>./nature/nmat2256</t>
  </si>
  <si>
    <t>./nature/nmat4823</t>
  </si>
  <si>
    <t>./nature/ncomms3826</t>
  </si>
  <si>
    <t>./nature/nchem.2469</t>
  </si>
  <si>
    <t>Nature</t>
  </si>
  <si>
    <t>./acs/ja9b06179</t>
  </si>
  <si>
    <t>./acs/ja030648m</t>
  </si>
  <si>
    <t>./acs/ja0490267</t>
  </si>
  <si>
    <t>./acs/ja5b02556</t>
  </si>
  <si>
    <t>./acs/ja4076056</t>
  </si>
  <si>
    <t>./acs/ja409267p</t>
  </si>
  <si>
    <t>./acs/ja9b07297</t>
  </si>
  <si>
    <t>./acs/ja809352y</t>
  </si>
  <si>
    <t>./acs/ja00252a033</t>
  </si>
  <si>
    <t>./acs/ja0c05074</t>
  </si>
  <si>
    <t>./acs/ja801997r</t>
  </si>
  <si>
    <t>./acs/ja8b08316</t>
  </si>
  <si>
    <t>./acs/ja974172g</t>
  </si>
  <si>
    <t>./acs/ja2042113</t>
  </si>
  <si>
    <t>./acs/ja7b09983</t>
  </si>
  <si>
    <t>./acs/ja900203f</t>
  </si>
  <si>
    <t>./acs/ja908198d</t>
  </si>
  <si>
    <t>./acs/ja402674x</t>
  </si>
  <si>
    <t>./acs/ja056666g</t>
  </si>
  <si>
    <t>./acs/ja9642626</t>
  </si>
  <si>
    <t>./acs/ja8024092</t>
  </si>
  <si>
    <t>./acs/ja00314a013</t>
  </si>
  <si>
    <t>./acs/ja208256u</t>
  </si>
  <si>
    <t>./acs/ja1c10291</t>
  </si>
  <si>
    <t>./acs/ja1065009</t>
  </si>
  <si>
    <t>./acs/ja064601n</t>
  </si>
  <si>
    <t>./acs/ja204214t</t>
  </si>
  <si>
    <t>./acs/ja3c05720</t>
  </si>
  <si>
    <t>./acs/ja1c06797</t>
  </si>
  <si>
    <t>./acs/ja6b00564</t>
  </si>
  <si>
    <t>./acs/ja9b11336</t>
  </si>
  <si>
    <t>./acs/ja011821m</t>
  </si>
  <si>
    <t>./acs/ja00511a014</t>
  </si>
  <si>
    <t>./acs/ja512552g</t>
  </si>
  <si>
    <t>./acs/ja068436n</t>
  </si>
  <si>
    <t>./acs/ja5b03280</t>
  </si>
  <si>
    <t>./acs/ja205658j</t>
  </si>
  <si>
    <t>./acs/ja802761z</t>
  </si>
  <si>
    <t>./acs/ja1074322</t>
  </si>
  <si>
    <t>./acs/ja00262a047</t>
  </si>
  <si>
    <t>./acs/ja3103154</t>
  </si>
  <si>
    <t>./acs/ja7b08748</t>
  </si>
  <si>
    <t>./acs/ja1035804</t>
  </si>
  <si>
    <t>./acs/ja048624i</t>
  </si>
  <si>
    <t>./acs/ja809590n</t>
  </si>
  <si>
    <t>./acs/ja909169x</t>
  </si>
  <si>
    <t>./acs/ja8b04669</t>
  </si>
  <si>
    <t>./acs/ja305259n</t>
  </si>
  <si>
    <t>./acs/ja064152r</t>
  </si>
  <si>
    <t>./acs/ja207606u</t>
  </si>
  <si>
    <t>./acs/ja1c12873</t>
  </si>
  <si>
    <t>./acs/ja050876b</t>
  </si>
  <si>
    <t>./acs/ja7b08574</t>
  </si>
  <si>
    <t>./acs/ja1c06689</t>
  </si>
  <si>
    <t>./acs/ja6b00849</t>
  </si>
  <si>
    <t>./acs/ja904470m</t>
  </si>
  <si>
    <t>./acs/ja039104a</t>
  </si>
  <si>
    <t>./acs/ja0011156</t>
  </si>
  <si>
    <t>./acs/ja6b11197</t>
  </si>
  <si>
    <t>./acs/ja0c03063</t>
  </si>
  <si>
    <t>./acs/ja0c00612</t>
  </si>
  <si>
    <t>./acs/ja8b09987</t>
  </si>
  <si>
    <t>./acs/ja210039u</t>
  </si>
  <si>
    <t>./acs/ja9b09298</t>
  </si>
  <si>
    <t>./acs/ja3c01225</t>
  </si>
  <si>
    <t>./acs/ja1c02430</t>
  </si>
  <si>
    <t>./acs/ja971135g</t>
  </si>
  <si>
    <t>./acs/ja039472e</t>
  </si>
  <si>
    <t>./acs/ja00272a001</t>
  </si>
  <si>
    <t>./acs/ja050451p</t>
  </si>
  <si>
    <t>./acs/ja060666e</t>
  </si>
  <si>
    <t>./acs/ja0c01239</t>
  </si>
  <si>
    <t>./acs/ja5b07866</t>
  </si>
  <si>
    <t>./acs/ja9b10268</t>
  </si>
  <si>
    <t>./acs/ja042877u</t>
  </si>
  <si>
    <t>./acs/ja908807b</t>
  </si>
  <si>
    <t>./acs/ja8b07577</t>
  </si>
  <si>
    <t>./acs/ja055376x</t>
  </si>
  <si>
    <t>./acs/ja073568h</t>
  </si>
  <si>
    <t>./acs/ja020480p</t>
  </si>
  <si>
    <t>./acs/ja0c07381</t>
  </si>
  <si>
    <t>./acs/ja2c12095</t>
  </si>
  <si>
    <t>./acs/ja9b05191</t>
  </si>
  <si>
    <t>./acs/ja6b13176</t>
  </si>
  <si>
    <t>./acs/ja1c00661</t>
  </si>
  <si>
    <t>./acs/ja952706c</t>
  </si>
  <si>
    <t>./acs/ja1c08854</t>
  </si>
  <si>
    <t>./acs/ja0113293</t>
  </si>
  <si>
    <t>./acs/ja00100a016</t>
  </si>
  <si>
    <t>./acs/ja046351l</t>
  </si>
  <si>
    <t>./acs/ja7b12624</t>
  </si>
  <si>
    <t>./acs/ja0c04477</t>
  </si>
  <si>
    <t>./acs/ja028996w</t>
  </si>
  <si>
    <t>./acs/ja016637f</t>
  </si>
  <si>
    <t>./acs/ja0c11930</t>
  </si>
  <si>
    <t>./acs/ja6b11965</t>
  </si>
  <si>
    <t>./acs/ja034560k</t>
  </si>
  <si>
    <t>./acs/ja3c03130</t>
  </si>
  <si>
    <t>./acs/ja9819763</t>
  </si>
  <si>
    <t>./acs/ja7b05858</t>
  </si>
  <si>
    <t>./acs/ja0c13005</t>
  </si>
  <si>
    <t>./acs/ja991100b</t>
  </si>
  <si>
    <t>./acs/ja00096a025</t>
  </si>
  <si>
    <t>./acs/ja071271d</t>
  </si>
  <si>
    <t>./acs/ja0113192</t>
  </si>
  <si>
    <t>./acs/ja1c03801</t>
  </si>
  <si>
    <t>./acs/ja405503y</t>
  </si>
  <si>
    <t>./acs/ja00211a017</t>
  </si>
  <si>
    <t>./acs/ja038784e</t>
  </si>
  <si>
    <t>./acs/ja2c08717</t>
  </si>
  <si>
    <t>./acs/ja039914m</t>
  </si>
  <si>
    <t>./acs/ja0751734</t>
  </si>
  <si>
    <t>./acs/ja3c03265</t>
  </si>
  <si>
    <t>./acs/ja206029a</t>
  </si>
  <si>
    <t>./acs/ja00086a077</t>
  </si>
  <si>
    <t>./acs/ja054900x</t>
  </si>
  <si>
    <t>./acs/ja960530o</t>
  </si>
  <si>
    <t>./acs/ja9b00654</t>
  </si>
  <si>
    <t>./acs/ja104263m</t>
  </si>
  <si>
    <t>./acs/ja7b04829</t>
  </si>
  <si>
    <t>./acs/ja8b06062</t>
  </si>
  <si>
    <t>./acs/ja012006+</t>
  </si>
  <si>
    <t>./acs/ja8b07349</t>
  </si>
  <si>
    <t>./acs/ja6b04971</t>
  </si>
  <si>
    <t>./acs/ja7b07699</t>
  </si>
  <si>
    <t>./acs/ja7b01764</t>
  </si>
  <si>
    <t>./acs/ja000642m</t>
  </si>
  <si>
    <t>./acs/ja0561439</t>
  </si>
  <si>
    <t>ACS</t>
  </si>
  <si>
    <t>./nas/pnas.0602439103</t>
  </si>
  <si>
    <t>./nas/pnas.2205127119</t>
  </si>
  <si>
    <t>NAS</t>
  </si>
  <si>
    <t>./wiley/10.1002_adma.201704350</t>
  </si>
  <si>
    <t>./wiley/10.1002_anie.202105343</t>
  </si>
  <si>
    <t>./wiley/10.1002_anie.202308506</t>
  </si>
  <si>
    <t>./wiley/10.1002_adma.19920040710</t>
  </si>
  <si>
    <t>./wiley/10.1002_anie.201202848</t>
  </si>
  <si>
    <t>./wiley/10.1002_anie.201208432</t>
  </si>
  <si>
    <t>./wiley/10.1002_anie.202305390</t>
  </si>
  <si>
    <t>./wiley/10.1002_anie.200250243</t>
  </si>
  <si>
    <t>./wiley/10.1002_adfm.201002357</t>
  </si>
  <si>
    <t>./wiley/10.1002_anie.201509761</t>
  </si>
  <si>
    <t>./wiley/10.1002_anie.200600553</t>
  </si>
  <si>
    <t>./wiley/10.1002_anie.201408369</t>
  </si>
  <si>
    <t>./wiley/10.1002_adma.201102880</t>
  </si>
  <si>
    <t>./wiley/10.1002_adfm.202205343</t>
  </si>
  <si>
    <t>./wiley/10.1002_anie.200600327</t>
  </si>
  <si>
    <t>./wiley/10.1002_anie.201509744</t>
  </si>
  <si>
    <t>./wiley/10.1002_anie.202305144</t>
  </si>
  <si>
    <t>./wiley/10.1002_anie.202306360</t>
  </si>
  <si>
    <t>./wiley/10.1002_anie.202307646</t>
  </si>
  <si>
    <t>./wiley/10.1002_adma.201004028</t>
  </si>
  <si>
    <t>./wiley/10.1002_adfm.201101479</t>
  </si>
  <si>
    <t>./wiley/10.1002_anie.202308034</t>
  </si>
  <si>
    <t>./wiley/10.1002_adma.201705374</t>
  </si>
  <si>
    <t>./wiley/10.1002_anie.200703194</t>
  </si>
  <si>
    <t>./wiley/10.1002_adma.202209814</t>
  </si>
  <si>
    <t>./wiley/10.1002_adma.201703301</t>
  </si>
  <si>
    <t>./wiley/10.1002_adfm.201203288</t>
  </si>
  <si>
    <t>./wiley/10.1002_anie.201701303</t>
  </si>
  <si>
    <t>./wiley/10.1002_anie.200600290</t>
  </si>
  <si>
    <t>./wiley/10.1002_adma.201102538</t>
  </si>
  <si>
    <t>./wiley/10.1002_adfm.201102157</t>
  </si>
  <si>
    <t>./wiley/10.1002_anie.201602087</t>
  </si>
  <si>
    <t>./wiley/10.1002_adma.202105880</t>
  </si>
  <si>
    <t>./wiley/10.1002_adfm.201303986</t>
  </si>
  <si>
    <t>./wiley/10.1002_adma.19920040712</t>
  </si>
  <si>
    <t>./wiley/10.1002_adfm.202208148</t>
  </si>
  <si>
    <t>./wiley/10.1002_anie.202305246</t>
  </si>
  <si>
    <t>./wiley/10.1002_adfm.200901901</t>
  </si>
  <si>
    <t>./wiley/10.1002_adfm.202010368</t>
  </si>
  <si>
    <t>./wiley/10.1002_anie.200501807</t>
  </si>
  <si>
    <t>./wiley/10.1002_adma.19900020805</t>
  </si>
  <si>
    <t>./wiley/10.1002_adfm.202106925</t>
  </si>
  <si>
    <t>./wiley/10.1002_adfm.201503935</t>
  </si>
  <si>
    <t>./wiley/10.1002_anie.201407948</t>
  </si>
  <si>
    <t>./wiley/10.1002_anie.202205427</t>
  </si>
  <si>
    <t>./wiley/10.1002_anie.201100880</t>
  </si>
  <si>
    <t>./wiley/10.1002_adma.201704210</t>
  </si>
  <si>
    <t>./wiley/10.1002_anie.202102670</t>
  </si>
  <si>
    <t>./wiley/10.1002_anie.201509352</t>
  </si>
  <si>
    <t>./wiley/10.1002_adma.201702512</t>
  </si>
  <si>
    <t>./wiley/10.1002_anie.200802908</t>
  </si>
  <si>
    <t>./wiley/10.1002_anie.200462205</t>
  </si>
  <si>
    <t>./wiley/10.1002_anie.202305122</t>
  </si>
  <si>
    <t>./wiley/10.1002_anie.202105272</t>
  </si>
  <si>
    <t>./wiley/10.1002_anie.202103178</t>
  </si>
  <si>
    <t>./wiley/10.1002_adma.200802886</t>
  </si>
  <si>
    <t>./wiley/10.1002_adma.200904238</t>
  </si>
  <si>
    <t>./wiley/10.1002_anie.200600376</t>
  </si>
  <si>
    <t>./wiley/10.1002_anie.202305942</t>
  </si>
  <si>
    <t>./wiley/10.1002_anie.201308220</t>
  </si>
  <si>
    <t>./wiley/10.1002_anie.200462126</t>
  </si>
  <si>
    <t>./wiley/10.1002_anie.202009613</t>
  </si>
  <si>
    <t>./wiley/10.1002_anie.202306048</t>
  </si>
  <si>
    <t>./wiley/10.1002_adfm.202203745</t>
  </si>
  <si>
    <t>./wiley/10.1002_adfm.202008499</t>
  </si>
  <si>
    <t>./wiley/10.1002_anie.200351546</t>
  </si>
  <si>
    <t>Wiley</t>
  </si>
  <si>
    <t>./acs/ja6b05261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</si>
  <si>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</si>
  <si>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</si>
  <si>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</si>
  <si>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</si>
  <si>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</si>
  <si>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</si>
  <si>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</si>
  <si>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</si>
  <si>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</si>
  <si>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</si>
  <si>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</si>
  <si>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</si>
  <si>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</si>
  <si>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</si>
  <si>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</si>
  <si>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</si>
  <si>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</si>
  <si>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</si>
  <si>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</si>
  <si>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</si>
  <si>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Factual</t>
  </si>
  <si>
    <t>T/F</t>
  </si>
  <si>
    <t>Reasoning</t>
  </si>
  <si>
    <t>T/f</t>
  </si>
  <si>
    <t>DOIs</t>
  </si>
  <si>
    <t>Question</t>
  </si>
  <si>
    <t>Answer</t>
  </si>
  <si>
    <t>Cur_eval</t>
  </si>
  <si>
    <t>anie.200351546</t>
  </si>
  <si>
    <t>What is the symmetry of the interpenetrating frameworks in MOF-150?</t>
  </si>
  <si>
    <t>Ia3¯</t>
  </si>
  <si>
    <t>Does the dianion 12(cid:1) exhibit Cs symmetry in both solid-state and solution?</t>
  </si>
  <si>
    <t>The synthesis involved dimethylcarbonate, (MeO)2CO.</t>
  </si>
  <si>
    <t>What method was used to synthesize Li(OCP) from Li[P(SiMe3)2]?</t>
  </si>
  <si>
    <t>What is the temperature at which NTU-67 maintains its structural integrity and functionality?</t>
  </si>
  <si>
    <t>343 K</t>
  </si>
  <si>
    <t>What is the outcome of the quantitative photodimerization on irradiation of desolvated 1?</t>
  </si>
  <si>
    <t>The outcome of the quantitative photodimerization on irradiation of desolvated 1 is the complete conversion of the olefins to cyclobutane derivatives.</t>
  </si>
  <si>
    <t>Does Mn[TCNE]3/2(I3)1/2 exhibit stronger or weaker spin coupling compared to V[TCNE]x?</t>
  </si>
  <si>
    <t>Stronger spin coupling</t>
  </si>
  <si>
    <t>True or False: The coordination polymer's photomechanical motion includes expansion and contraction.</t>
  </si>
  <si>
    <t>TP/FP</t>
  </si>
  <si>
    <t>has most of the questions from the peer review file. Gemini is good at capturing those as TN(mentioned not from the main text), while other LLMs failed to capture them.</t>
  </si>
  <si>
    <t>red dois should be removed</t>
  </si>
  <si>
    <t>True or False</t>
  </si>
  <si>
    <t>reasoning</t>
  </si>
  <si>
    <t>factual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</si>
</sst>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Menlo"/>
      <family val="2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000000"/>
      <name val="Helvetica Neue"/>
      <family val="2"/>
    </font>
    <font>
      <b/>
      <sz val="12"/>
      <color rgb="FFFF0000"/>
      <name val="Helvetica Neue"/>
      <family val="2"/>
    </font>
    <font>
      <sz val="12"/>
      <color rgb="FF000000"/>
      <name val="Helvetica Neue"/>
      <family val="2"/>
    </font>
    <font>
      <sz val="12"/>
      <color rgb="FFFF0000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A8B4C9"/>
        <bgColor indexed="64"/>
      </patternFill>
    </fill>
    <fill>
      <patternFill patternType="solid">
        <fgColor rgb="FFC9B0DB"/>
        <bgColor indexed="64"/>
      </patternFill>
    </fill>
    <fill>
      <patternFill patternType="solid">
        <fgColor rgb="FF9EE1B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8" borderId="0" xfId="0" applyFill="1"/>
    <xf numFmtId="0" fontId="4" fillId="0" borderId="0" xfId="0" applyFont="1"/>
    <xf numFmtId="0" fontId="7" fillId="0" borderId="0" xfId="0" applyFont="1"/>
    <xf numFmtId="0" fontId="6" fillId="0" borderId="0" xfId="0" applyFont="1"/>
    <xf numFmtId="0" fontId="6" fillId="8" borderId="0" xfId="0" applyFont="1" applyFill="1"/>
    <xf numFmtId="0" fontId="8" fillId="0" borderId="0" xfId="0" applyFont="1"/>
    <xf numFmtId="0" fontId="5" fillId="0" borderId="0" xfId="0" applyFont="1"/>
    <xf numFmtId="0" fontId="9" fillId="0" borderId="0" xfId="0" applyFont="1"/>
    <xf numFmtId="0" fontId="10" fillId="0" borderId="0" xfId="0" applyFont="1"/>
    <xf numFmtId="0" fontId="2" fillId="5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E1BD"/>
      <color rgb="FFC9B0DB"/>
      <color rgb="FFA8B4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B0176-5105-9941-9715-8245D4D1C3F2}">
  <dimension ref="A1:AD273"/>
  <sheetViews>
    <sheetView zoomScale="81" workbookViewId="0">
      <pane xSplit="3" ySplit="2" topLeftCell="D129" activePane="bottomRight" state="frozen"/>
      <selection pane="topRight" activeCell="D1" sqref="D1"/>
      <selection pane="bottomLeft" activeCell="A3" sqref="A3"/>
      <selection pane="bottomRight" activeCell="F172" sqref="F172"/>
    </sheetView>
  </sheetViews>
  <sheetFormatPr baseColWidth="10" defaultColWidth="11" defaultRowHeight="16" x14ac:dyDescent="0.2"/>
  <cols>
    <col min="2" max="2" width="32.5" customWidth="1"/>
    <col min="3" max="3" width="9.33203125" customWidth="1"/>
    <col min="4" max="19" width="10.83203125" customWidth="1"/>
  </cols>
  <sheetData>
    <row r="1" spans="1:30" x14ac:dyDescent="0.2">
      <c r="A1" s="22" t="s">
        <v>14</v>
      </c>
      <c r="B1" s="21" t="s">
        <v>0</v>
      </c>
      <c r="C1" s="20" t="s">
        <v>1</v>
      </c>
      <c r="D1" s="18" t="s">
        <v>10</v>
      </c>
      <c r="E1" s="18"/>
      <c r="F1" s="18"/>
      <c r="G1" s="18"/>
      <c r="H1" s="18"/>
      <c r="I1" s="18"/>
      <c r="J1" s="18"/>
      <c r="K1" s="18"/>
      <c r="L1" s="18"/>
      <c r="M1" s="19" t="s">
        <v>11</v>
      </c>
      <c r="N1" s="19"/>
      <c r="O1" s="19"/>
      <c r="P1" s="19"/>
      <c r="Q1" s="19"/>
      <c r="R1" s="19"/>
      <c r="S1" s="19"/>
      <c r="T1" s="19"/>
      <c r="U1" s="19"/>
      <c r="V1" s="17" t="s">
        <v>13</v>
      </c>
      <c r="W1" s="17"/>
      <c r="X1" s="17"/>
      <c r="Y1" s="17"/>
      <c r="Z1" s="17"/>
      <c r="AA1" s="17"/>
      <c r="AB1" s="17"/>
      <c r="AC1" s="17"/>
      <c r="AD1" s="17"/>
    </row>
    <row r="2" spans="1:30" x14ac:dyDescent="0.2">
      <c r="A2" s="22"/>
      <c r="B2" s="21"/>
      <c r="C2" s="20"/>
      <c r="D2" s="1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9</v>
      </c>
      <c r="J2" s="5" t="s">
        <v>7</v>
      </c>
      <c r="K2" s="5" t="s">
        <v>8</v>
      </c>
      <c r="L2" s="5" t="s">
        <v>12</v>
      </c>
      <c r="M2" s="2" t="s">
        <v>2</v>
      </c>
      <c r="N2" s="4" t="s">
        <v>3</v>
      </c>
      <c r="O2" s="4" t="s">
        <v>4</v>
      </c>
      <c r="P2" s="4" t="s">
        <v>5</v>
      </c>
      <c r="Q2" s="4" t="s">
        <v>6</v>
      </c>
      <c r="R2" s="5" t="s">
        <v>9</v>
      </c>
      <c r="S2" s="5" t="s">
        <v>7</v>
      </c>
      <c r="T2" s="5" t="s">
        <v>8</v>
      </c>
      <c r="U2" s="5" t="s">
        <v>12</v>
      </c>
      <c r="V2" s="3" t="s">
        <v>2</v>
      </c>
      <c r="W2" s="4" t="s">
        <v>3</v>
      </c>
      <c r="X2" s="4" t="s">
        <v>4</v>
      </c>
      <c r="Y2" s="4" t="s">
        <v>5</v>
      </c>
      <c r="Z2" s="4" t="s">
        <v>6</v>
      </c>
      <c r="AA2" s="7" t="s">
        <v>9</v>
      </c>
      <c r="AB2" s="7" t="s">
        <v>7</v>
      </c>
      <c r="AC2" s="7" t="s">
        <v>8</v>
      </c>
      <c r="AD2" s="7" t="s">
        <v>12</v>
      </c>
    </row>
    <row r="3" spans="1:30" x14ac:dyDescent="0.2">
      <c r="A3" s="23" t="s">
        <v>293</v>
      </c>
      <c r="B3" t="s">
        <v>292</v>
      </c>
      <c r="C3">
        <f>D3+M3+V3</f>
        <v>18</v>
      </c>
      <c r="D3">
        <f>SUM(E3:H3)</f>
        <v>7</v>
      </c>
      <c r="E3">
        <v>5</v>
      </c>
      <c r="F3">
        <v>1</v>
      </c>
      <c r="G3">
        <v>1</v>
      </c>
      <c r="I3">
        <f>(E3+F3)/(E3+F3+G3+H3)</f>
        <v>0.8571428571428571</v>
      </c>
      <c r="J3">
        <f>E3/(E3+G3)</f>
        <v>0.83333333333333337</v>
      </c>
      <c r="K3">
        <f>E3/(E3+H3)</f>
        <v>1</v>
      </c>
      <c r="L3">
        <f>(2*J3*K3)/(J3+K3)</f>
        <v>0.90909090909090906</v>
      </c>
      <c r="M3">
        <f>SUM(N3:Q3)</f>
        <v>5</v>
      </c>
      <c r="N3">
        <v>5</v>
      </c>
      <c r="R3">
        <f>(N3+O3)/(N3+O3+P3+Q3)</f>
        <v>1</v>
      </c>
      <c r="S3">
        <f>N3/(N3+P3)</f>
        <v>1</v>
      </c>
      <c r="T3">
        <f>N3/(N3+Q3)</f>
        <v>1</v>
      </c>
      <c r="U3">
        <f>(2*S3*T3)/(S3+T3)</f>
        <v>1</v>
      </c>
      <c r="V3">
        <f>SUM(W3:Z3)</f>
        <v>6</v>
      </c>
      <c r="W3">
        <v>5</v>
      </c>
      <c r="Y3">
        <v>1</v>
      </c>
      <c r="AA3">
        <f>(W3+X3)/(W3+X3+Y3+Z3)</f>
        <v>0.83333333333333337</v>
      </c>
      <c r="AB3">
        <f t="shared" ref="AB3" si="0">W3/(W3+Y3)</f>
        <v>0.83333333333333337</v>
      </c>
      <c r="AC3">
        <f>W3/(W3+Z3)</f>
        <v>1</v>
      </c>
      <c r="AD3">
        <f t="shared" ref="AD3" si="1">(2*AB3*AC3)/(AB3+AC3)</f>
        <v>0.90909090909090906</v>
      </c>
    </row>
    <row r="4" spans="1:30" x14ac:dyDescent="0.2">
      <c r="A4" s="23"/>
      <c r="B4" t="s">
        <v>291</v>
      </c>
      <c r="C4">
        <f t="shared" ref="C4:C67" si="2">D4+M4+V4</f>
        <v>20</v>
      </c>
      <c r="D4">
        <f t="shared" ref="D4:D67" si="3">SUM(E4:H4)</f>
        <v>8</v>
      </c>
      <c r="E4">
        <v>8</v>
      </c>
      <c r="I4">
        <f t="shared" ref="I4:I67" si="4">(E4+F4)/(E4+F4+G4+H4)</f>
        <v>1</v>
      </c>
      <c r="J4">
        <f t="shared" ref="J4:J67" si="5">E4/(E4+G4)</f>
        <v>1</v>
      </c>
      <c r="K4">
        <f t="shared" ref="K4:K67" si="6">E4/(E4+H4)</f>
        <v>1</v>
      </c>
      <c r="L4">
        <f t="shared" ref="L4:L67" si="7">(2*J4*K4)/(J4+K4)</f>
        <v>1</v>
      </c>
      <c r="M4">
        <f t="shared" ref="M4:M67" si="8">SUM(N4:Q4)</f>
        <v>5</v>
      </c>
      <c r="N4">
        <v>5</v>
      </c>
      <c r="R4">
        <f t="shared" ref="R4:R67" si="9">(N4+O4)/(N4+O4+P4+Q4)</f>
        <v>1</v>
      </c>
      <c r="S4">
        <f t="shared" ref="S4:S67" si="10">N4/(N4+P4)</f>
        <v>1</v>
      </c>
      <c r="T4">
        <f t="shared" ref="T4:T67" si="11">N4/(N4+Q4)</f>
        <v>1</v>
      </c>
      <c r="U4">
        <f t="shared" ref="U4:U67" si="12">(2*S4*T4)/(S4+T4)</f>
        <v>1</v>
      </c>
      <c r="V4">
        <f t="shared" ref="V4:V67" si="13">SUM(W4:Z4)</f>
        <v>7</v>
      </c>
      <c r="W4">
        <v>7</v>
      </c>
      <c r="AA4">
        <f t="shared" ref="AA4:AA67" si="14">(W4+X4)/(W4+X4+Y4+Z4)</f>
        <v>1</v>
      </c>
      <c r="AB4">
        <f t="shared" ref="AB4:AB67" si="15">W4/(W4+Y4)</f>
        <v>1</v>
      </c>
      <c r="AC4">
        <f t="shared" ref="AC4:AC67" si="16">W4/(W4+Z4)</f>
        <v>1</v>
      </c>
      <c r="AD4">
        <f t="shared" ref="AD4:AD67" si="17">(2*AB4*AC4)/(AB4+AC4)</f>
        <v>1</v>
      </c>
    </row>
    <row r="5" spans="1:30" x14ac:dyDescent="0.2">
      <c r="A5" s="23"/>
      <c r="B5" t="s">
        <v>290</v>
      </c>
      <c r="C5">
        <f t="shared" si="2"/>
        <v>20</v>
      </c>
      <c r="D5">
        <f t="shared" si="3"/>
        <v>7</v>
      </c>
      <c r="E5">
        <v>7</v>
      </c>
      <c r="I5">
        <f t="shared" si="4"/>
        <v>1</v>
      </c>
      <c r="J5">
        <f t="shared" si="5"/>
        <v>1</v>
      </c>
      <c r="K5">
        <f t="shared" si="6"/>
        <v>1</v>
      </c>
      <c r="L5">
        <f t="shared" si="7"/>
        <v>1</v>
      </c>
      <c r="M5">
        <f t="shared" si="8"/>
        <v>5</v>
      </c>
      <c r="N5">
        <v>4</v>
      </c>
      <c r="P5">
        <v>1</v>
      </c>
      <c r="R5">
        <f t="shared" si="9"/>
        <v>0.8</v>
      </c>
      <c r="S5">
        <f t="shared" si="10"/>
        <v>0.8</v>
      </c>
      <c r="T5">
        <f t="shared" si="11"/>
        <v>1</v>
      </c>
      <c r="U5">
        <f t="shared" si="12"/>
        <v>0.88888888888888895</v>
      </c>
      <c r="V5">
        <f t="shared" si="13"/>
        <v>8</v>
      </c>
      <c r="W5">
        <v>8</v>
      </c>
      <c r="AA5">
        <f t="shared" si="14"/>
        <v>1</v>
      </c>
      <c r="AB5">
        <f t="shared" si="15"/>
        <v>1</v>
      </c>
      <c r="AC5">
        <f t="shared" si="16"/>
        <v>1</v>
      </c>
      <c r="AD5">
        <f t="shared" si="17"/>
        <v>1</v>
      </c>
    </row>
    <row r="6" spans="1:30" x14ac:dyDescent="0.2">
      <c r="A6" s="23"/>
      <c r="B6" t="s">
        <v>289</v>
      </c>
      <c r="C6">
        <f t="shared" si="2"/>
        <v>20</v>
      </c>
      <c r="D6">
        <f t="shared" si="3"/>
        <v>8</v>
      </c>
      <c r="E6">
        <v>8</v>
      </c>
      <c r="I6">
        <f t="shared" si="4"/>
        <v>1</v>
      </c>
      <c r="J6">
        <f t="shared" si="5"/>
        <v>1</v>
      </c>
      <c r="K6">
        <f t="shared" si="6"/>
        <v>1</v>
      </c>
      <c r="L6">
        <f t="shared" si="7"/>
        <v>1</v>
      </c>
      <c r="M6">
        <f t="shared" si="8"/>
        <v>6</v>
      </c>
      <c r="N6">
        <v>5</v>
      </c>
      <c r="P6">
        <v>1</v>
      </c>
      <c r="R6">
        <f t="shared" si="9"/>
        <v>0.83333333333333337</v>
      </c>
      <c r="S6">
        <f t="shared" si="10"/>
        <v>0.83333333333333337</v>
      </c>
      <c r="T6">
        <f t="shared" si="11"/>
        <v>1</v>
      </c>
      <c r="U6">
        <f t="shared" si="12"/>
        <v>0.90909090909090906</v>
      </c>
      <c r="V6">
        <f t="shared" si="13"/>
        <v>6</v>
      </c>
      <c r="W6">
        <v>6</v>
      </c>
      <c r="AA6">
        <f t="shared" si="14"/>
        <v>1</v>
      </c>
      <c r="AB6">
        <f t="shared" si="15"/>
        <v>1</v>
      </c>
      <c r="AC6">
        <f t="shared" si="16"/>
        <v>1</v>
      </c>
      <c r="AD6">
        <f t="shared" si="17"/>
        <v>1</v>
      </c>
    </row>
    <row r="7" spans="1:30" x14ac:dyDescent="0.2">
      <c r="A7" s="23"/>
      <c r="B7" t="s">
        <v>288</v>
      </c>
      <c r="C7">
        <f t="shared" si="2"/>
        <v>20</v>
      </c>
      <c r="D7">
        <f t="shared" si="3"/>
        <v>7</v>
      </c>
      <c r="E7">
        <v>6</v>
      </c>
      <c r="G7">
        <v>1</v>
      </c>
      <c r="I7">
        <f t="shared" si="4"/>
        <v>0.8571428571428571</v>
      </c>
      <c r="J7">
        <f t="shared" si="5"/>
        <v>0.8571428571428571</v>
      </c>
      <c r="K7">
        <f t="shared" si="6"/>
        <v>1</v>
      </c>
      <c r="L7">
        <f t="shared" si="7"/>
        <v>0.92307692307692302</v>
      </c>
      <c r="M7">
        <f t="shared" si="8"/>
        <v>8</v>
      </c>
      <c r="N7">
        <v>8</v>
      </c>
      <c r="R7">
        <f t="shared" si="9"/>
        <v>1</v>
      </c>
      <c r="S7">
        <f t="shared" si="10"/>
        <v>1</v>
      </c>
      <c r="T7">
        <f t="shared" si="11"/>
        <v>1</v>
      </c>
      <c r="U7">
        <f t="shared" si="12"/>
        <v>1</v>
      </c>
      <c r="V7">
        <f t="shared" si="13"/>
        <v>5</v>
      </c>
      <c r="W7">
        <v>5</v>
      </c>
      <c r="AA7">
        <f t="shared" si="14"/>
        <v>1</v>
      </c>
      <c r="AB7">
        <f t="shared" si="15"/>
        <v>1</v>
      </c>
      <c r="AC7">
        <f t="shared" si="16"/>
        <v>1</v>
      </c>
      <c r="AD7">
        <f t="shared" si="17"/>
        <v>1</v>
      </c>
    </row>
    <row r="8" spans="1:30" x14ac:dyDescent="0.2">
      <c r="A8" s="23"/>
      <c r="B8" t="s">
        <v>287</v>
      </c>
      <c r="C8">
        <f t="shared" si="2"/>
        <v>20</v>
      </c>
      <c r="D8">
        <f t="shared" si="3"/>
        <v>8</v>
      </c>
      <c r="E8">
        <v>7</v>
      </c>
      <c r="G8">
        <v>1</v>
      </c>
      <c r="I8">
        <f t="shared" si="4"/>
        <v>0.875</v>
      </c>
      <c r="J8">
        <f t="shared" si="5"/>
        <v>0.875</v>
      </c>
      <c r="K8">
        <f t="shared" si="6"/>
        <v>1</v>
      </c>
      <c r="L8">
        <f t="shared" si="7"/>
        <v>0.93333333333333335</v>
      </c>
      <c r="M8">
        <f t="shared" si="8"/>
        <v>6</v>
      </c>
      <c r="N8">
        <v>5</v>
      </c>
      <c r="P8">
        <v>1</v>
      </c>
      <c r="R8">
        <f t="shared" si="9"/>
        <v>0.83333333333333337</v>
      </c>
      <c r="S8">
        <f t="shared" si="10"/>
        <v>0.83333333333333337</v>
      </c>
      <c r="T8">
        <f t="shared" si="11"/>
        <v>1</v>
      </c>
      <c r="U8">
        <f t="shared" si="12"/>
        <v>0.90909090909090906</v>
      </c>
      <c r="V8">
        <f t="shared" si="13"/>
        <v>6</v>
      </c>
      <c r="W8">
        <v>6</v>
      </c>
      <c r="AA8">
        <f t="shared" si="14"/>
        <v>1</v>
      </c>
      <c r="AB8">
        <f t="shared" si="15"/>
        <v>1</v>
      </c>
      <c r="AC8">
        <f t="shared" si="16"/>
        <v>1</v>
      </c>
      <c r="AD8">
        <f t="shared" si="17"/>
        <v>1</v>
      </c>
    </row>
    <row r="9" spans="1:30" x14ac:dyDescent="0.2">
      <c r="A9" s="23"/>
      <c r="B9" t="s">
        <v>286</v>
      </c>
      <c r="C9">
        <f t="shared" si="2"/>
        <v>20</v>
      </c>
      <c r="D9">
        <f t="shared" si="3"/>
        <v>8</v>
      </c>
      <c r="E9">
        <v>8</v>
      </c>
      <c r="I9">
        <f t="shared" si="4"/>
        <v>1</v>
      </c>
      <c r="J9">
        <f t="shared" si="5"/>
        <v>1</v>
      </c>
      <c r="K9">
        <f t="shared" si="6"/>
        <v>1</v>
      </c>
      <c r="L9">
        <f t="shared" si="7"/>
        <v>1</v>
      </c>
      <c r="M9">
        <f t="shared" si="8"/>
        <v>5</v>
      </c>
      <c r="N9">
        <v>5</v>
      </c>
      <c r="R9">
        <f t="shared" si="9"/>
        <v>1</v>
      </c>
      <c r="S9">
        <f t="shared" si="10"/>
        <v>1</v>
      </c>
      <c r="T9">
        <f t="shared" si="11"/>
        <v>1</v>
      </c>
      <c r="U9">
        <f t="shared" si="12"/>
        <v>1</v>
      </c>
      <c r="V9">
        <f t="shared" si="13"/>
        <v>7</v>
      </c>
      <c r="W9">
        <v>6</v>
      </c>
      <c r="Y9">
        <v>1</v>
      </c>
      <c r="AA9">
        <f t="shared" si="14"/>
        <v>0.8571428571428571</v>
      </c>
      <c r="AB9">
        <f t="shared" si="15"/>
        <v>0.8571428571428571</v>
      </c>
      <c r="AC9">
        <f t="shared" si="16"/>
        <v>1</v>
      </c>
      <c r="AD9">
        <f t="shared" si="17"/>
        <v>0.92307692307692302</v>
      </c>
    </row>
    <row r="10" spans="1:30" x14ac:dyDescent="0.2">
      <c r="A10" s="23"/>
      <c r="B10" t="s">
        <v>285</v>
      </c>
      <c r="C10">
        <f t="shared" si="2"/>
        <v>20</v>
      </c>
      <c r="D10">
        <f t="shared" si="3"/>
        <v>8</v>
      </c>
      <c r="E10">
        <v>8</v>
      </c>
      <c r="I10">
        <f t="shared" si="4"/>
        <v>1</v>
      </c>
      <c r="J10">
        <f t="shared" si="5"/>
        <v>1</v>
      </c>
      <c r="K10">
        <f t="shared" si="6"/>
        <v>1</v>
      </c>
      <c r="L10">
        <f t="shared" si="7"/>
        <v>1</v>
      </c>
      <c r="M10">
        <f t="shared" si="8"/>
        <v>5</v>
      </c>
      <c r="N10">
        <v>5</v>
      </c>
      <c r="R10">
        <f t="shared" si="9"/>
        <v>1</v>
      </c>
      <c r="S10">
        <f t="shared" si="10"/>
        <v>1</v>
      </c>
      <c r="T10">
        <f t="shared" si="11"/>
        <v>1</v>
      </c>
      <c r="U10">
        <f t="shared" si="12"/>
        <v>1</v>
      </c>
      <c r="V10">
        <f t="shared" si="13"/>
        <v>7</v>
      </c>
      <c r="W10">
        <v>7</v>
      </c>
      <c r="AA10">
        <f t="shared" si="14"/>
        <v>1</v>
      </c>
      <c r="AB10">
        <f t="shared" si="15"/>
        <v>1</v>
      </c>
      <c r="AC10">
        <f t="shared" si="16"/>
        <v>1</v>
      </c>
      <c r="AD10">
        <f t="shared" si="17"/>
        <v>1</v>
      </c>
    </row>
    <row r="11" spans="1:30" x14ac:dyDescent="0.2">
      <c r="A11" s="23"/>
      <c r="B11" t="s">
        <v>284</v>
      </c>
      <c r="C11">
        <f t="shared" si="2"/>
        <v>20</v>
      </c>
      <c r="D11">
        <f t="shared" si="3"/>
        <v>7</v>
      </c>
      <c r="E11">
        <v>7</v>
      </c>
      <c r="I11">
        <f t="shared" si="4"/>
        <v>1</v>
      </c>
      <c r="J11">
        <f t="shared" si="5"/>
        <v>1</v>
      </c>
      <c r="K11">
        <f t="shared" si="6"/>
        <v>1</v>
      </c>
      <c r="L11">
        <f t="shared" si="7"/>
        <v>1</v>
      </c>
      <c r="M11">
        <f t="shared" si="8"/>
        <v>6</v>
      </c>
      <c r="N11">
        <v>5</v>
      </c>
      <c r="P11">
        <v>1</v>
      </c>
      <c r="R11">
        <f t="shared" si="9"/>
        <v>0.83333333333333337</v>
      </c>
      <c r="S11">
        <f t="shared" si="10"/>
        <v>0.83333333333333337</v>
      </c>
      <c r="T11">
        <f t="shared" si="11"/>
        <v>1</v>
      </c>
      <c r="U11">
        <f t="shared" si="12"/>
        <v>0.90909090909090906</v>
      </c>
      <c r="V11">
        <f t="shared" si="13"/>
        <v>7</v>
      </c>
      <c r="W11">
        <v>7</v>
      </c>
      <c r="AA11">
        <f t="shared" si="14"/>
        <v>1</v>
      </c>
      <c r="AB11">
        <f t="shared" si="15"/>
        <v>1</v>
      </c>
      <c r="AC11">
        <f t="shared" si="16"/>
        <v>1</v>
      </c>
      <c r="AD11">
        <f t="shared" si="17"/>
        <v>1</v>
      </c>
    </row>
    <row r="12" spans="1:30" x14ac:dyDescent="0.2">
      <c r="A12" s="23"/>
      <c r="B12" t="s">
        <v>283</v>
      </c>
      <c r="C12">
        <f t="shared" si="2"/>
        <v>20</v>
      </c>
      <c r="D12">
        <f t="shared" si="3"/>
        <v>8</v>
      </c>
      <c r="E12">
        <v>7</v>
      </c>
      <c r="G12">
        <v>1</v>
      </c>
      <c r="I12">
        <f t="shared" si="4"/>
        <v>0.875</v>
      </c>
      <c r="J12">
        <f t="shared" si="5"/>
        <v>0.875</v>
      </c>
      <c r="K12">
        <f t="shared" si="6"/>
        <v>1</v>
      </c>
      <c r="L12">
        <f t="shared" si="7"/>
        <v>0.93333333333333335</v>
      </c>
      <c r="M12">
        <f t="shared" si="8"/>
        <v>6</v>
      </c>
      <c r="N12">
        <v>6</v>
      </c>
      <c r="R12">
        <f t="shared" si="9"/>
        <v>1</v>
      </c>
      <c r="S12">
        <f t="shared" si="10"/>
        <v>1</v>
      </c>
      <c r="T12">
        <f t="shared" si="11"/>
        <v>1</v>
      </c>
      <c r="U12">
        <f t="shared" si="12"/>
        <v>1</v>
      </c>
      <c r="V12">
        <f t="shared" si="13"/>
        <v>6</v>
      </c>
      <c r="W12">
        <v>6</v>
      </c>
      <c r="AA12">
        <f t="shared" si="14"/>
        <v>1</v>
      </c>
      <c r="AB12">
        <f t="shared" si="15"/>
        <v>1</v>
      </c>
      <c r="AC12">
        <f t="shared" si="16"/>
        <v>1</v>
      </c>
      <c r="AD12">
        <f t="shared" si="17"/>
        <v>1</v>
      </c>
    </row>
    <row r="13" spans="1:30" x14ac:dyDescent="0.2">
      <c r="A13" s="23"/>
      <c r="B13" t="s">
        <v>282</v>
      </c>
      <c r="C13">
        <f t="shared" si="2"/>
        <v>20</v>
      </c>
      <c r="D13">
        <f t="shared" si="3"/>
        <v>8</v>
      </c>
      <c r="E13">
        <v>8</v>
      </c>
      <c r="I13">
        <f t="shared" si="4"/>
        <v>1</v>
      </c>
      <c r="J13">
        <f t="shared" si="5"/>
        <v>1</v>
      </c>
      <c r="K13">
        <f t="shared" si="6"/>
        <v>1</v>
      </c>
      <c r="L13">
        <f t="shared" si="7"/>
        <v>1</v>
      </c>
      <c r="M13">
        <f t="shared" si="8"/>
        <v>7</v>
      </c>
      <c r="N13">
        <v>4</v>
      </c>
      <c r="P13">
        <v>2</v>
      </c>
      <c r="Q13">
        <v>1</v>
      </c>
      <c r="R13">
        <f t="shared" si="9"/>
        <v>0.5714285714285714</v>
      </c>
      <c r="S13">
        <f t="shared" si="10"/>
        <v>0.66666666666666663</v>
      </c>
      <c r="T13">
        <f t="shared" si="11"/>
        <v>0.8</v>
      </c>
      <c r="U13">
        <f t="shared" si="12"/>
        <v>0.72727272727272718</v>
      </c>
      <c r="V13">
        <f t="shared" si="13"/>
        <v>5</v>
      </c>
      <c r="W13">
        <v>5</v>
      </c>
      <c r="AA13">
        <f t="shared" si="14"/>
        <v>1</v>
      </c>
      <c r="AB13">
        <f t="shared" si="15"/>
        <v>1</v>
      </c>
      <c r="AC13">
        <f t="shared" si="16"/>
        <v>1</v>
      </c>
      <c r="AD13">
        <f t="shared" si="17"/>
        <v>1</v>
      </c>
    </row>
    <row r="14" spans="1:30" x14ac:dyDescent="0.2">
      <c r="A14" s="23"/>
      <c r="B14" t="s">
        <v>281</v>
      </c>
      <c r="C14">
        <f t="shared" si="2"/>
        <v>20</v>
      </c>
      <c r="D14">
        <f t="shared" si="3"/>
        <v>5</v>
      </c>
      <c r="E14">
        <v>4</v>
      </c>
      <c r="H14">
        <v>1</v>
      </c>
      <c r="I14">
        <f t="shared" si="4"/>
        <v>0.8</v>
      </c>
      <c r="J14">
        <f t="shared" si="5"/>
        <v>1</v>
      </c>
      <c r="K14">
        <f t="shared" si="6"/>
        <v>0.8</v>
      </c>
      <c r="L14">
        <f t="shared" si="7"/>
        <v>0.88888888888888895</v>
      </c>
      <c r="M14">
        <f t="shared" si="8"/>
        <v>10</v>
      </c>
      <c r="N14">
        <v>10</v>
      </c>
      <c r="R14">
        <f t="shared" si="9"/>
        <v>1</v>
      </c>
      <c r="S14">
        <f t="shared" si="10"/>
        <v>1</v>
      </c>
      <c r="T14">
        <f t="shared" si="11"/>
        <v>1</v>
      </c>
      <c r="U14">
        <f t="shared" si="12"/>
        <v>1</v>
      </c>
      <c r="V14">
        <f t="shared" si="13"/>
        <v>5</v>
      </c>
      <c r="W14">
        <v>5</v>
      </c>
      <c r="AA14">
        <f t="shared" si="14"/>
        <v>1</v>
      </c>
      <c r="AB14">
        <f t="shared" si="15"/>
        <v>1</v>
      </c>
      <c r="AC14">
        <f t="shared" si="16"/>
        <v>1</v>
      </c>
      <c r="AD14">
        <f t="shared" si="17"/>
        <v>1</v>
      </c>
    </row>
    <row r="15" spans="1:30" x14ac:dyDescent="0.2">
      <c r="A15" s="23"/>
      <c r="B15" t="s">
        <v>280</v>
      </c>
      <c r="C15">
        <f t="shared" si="2"/>
        <v>20</v>
      </c>
      <c r="D15">
        <f t="shared" si="3"/>
        <v>9</v>
      </c>
      <c r="E15">
        <v>8</v>
      </c>
      <c r="G15">
        <v>1</v>
      </c>
      <c r="I15">
        <f t="shared" si="4"/>
        <v>0.88888888888888884</v>
      </c>
      <c r="J15">
        <f t="shared" si="5"/>
        <v>0.88888888888888884</v>
      </c>
      <c r="K15">
        <f t="shared" si="6"/>
        <v>1</v>
      </c>
      <c r="L15">
        <f t="shared" si="7"/>
        <v>0.94117647058823528</v>
      </c>
      <c r="M15">
        <f t="shared" si="8"/>
        <v>6</v>
      </c>
      <c r="N15">
        <v>6</v>
      </c>
      <c r="R15">
        <f t="shared" si="9"/>
        <v>1</v>
      </c>
      <c r="S15">
        <f t="shared" si="10"/>
        <v>1</v>
      </c>
      <c r="T15">
        <f t="shared" si="11"/>
        <v>1</v>
      </c>
      <c r="U15">
        <f t="shared" si="12"/>
        <v>1</v>
      </c>
      <c r="V15">
        <f t="shared" si="13"/>
        <v>5</v>
      </c>
      <c r="W15">
        <v>4</v>
      </c>
      <c r="Y15">
        <v>1</v>
      </c>
      <c r="AA15">
        <f t="shared" si="14"/>
        <v>0.8</v>
      </c>
      <c r="AB15">
        <f t="shared" si="15"/>
        <v>0.8</v>
      </c>
      <c r="AC15">
        <f t="shared" si="16"/>
        <v>1</v>
      </c>
      <c r="AD15">
        <f t="shared" si="17"/>
        <v>0.88888888888888895</v>
      </c>
    </row>
    <row r="16" spans="1:30" x14ac:dyDescent="0.2">
      <c r="A16" s="23"/>
      <c r="B16" t="s">
        <v>279</v>
      </c>
      <c r="C16">
        <f t="shared" si="2"/>
        <v>20</v>
      </c>
      <c r="D16">
        <f t="shared" si="3"/>
        <v>9</v>
      </c>
      <c r="E16">
        <v>9</v>
      </c>
      <c r="I16">
        <f t="shared" si="4"/>
        <v>1</v>
      </c>
      <c r="J16">
        <f t="shared" si="5"/>
        <v>1</v>
      </c>
      <c r="K16">
        <f t="shared" si="6"/>
        <v>1</v>
      </c>
      <c r="L16">
        <f t="shared" si="7"/>
        <v>1</v>
      </c>
      <c r="M16">
        <f t="shared" si="8"/>
        <v>7</v>
      </c>
      <c r="N16">
        <v>7</v>
      </c>
      <c r="R16">
        <f t="shared" si="9"/>
        <v>1</v>
      </c>
      <c r="S16">
        <f t="shared" si="10"/>
        <v>1</v>
      </c>
      <c r="T16">
        <f t="shared" si="11"/>
        <v>1</v>
      </c>
      <c r="U16">
        <f t="shared" si="12"/>
        <v>1</v>
      </c>
      <c r="V16">
        <f t="shared" si="13"/>
        <v>4</v>
      </c>
      <c r="W16">
        <v>4</v>
      </c>
      <c r="AA16">
        <f t="shared" si="14"/>
        <v>1</v>
      </c>
      <c r="AB16">
        <f t="shared" si="15"/>
        <v>1</v>
      </c>
      <c r="AC16">
        <f t="shared" si="16"/>
        <v>1</v>
      </c>
      <c r="AD16">
        <f t="shared" si="17"/>
        <v>1</v>
      </c>
    </row>
    <row r="17" spans="1:30" x14ac:dyDescent="0.2">
      <c r="A17" s="23"/>
      <c r="B17" t="s">
        <v>278</v>
      </c>
      <c r="C17">
        <f t="shared" si="2"/>
        <v>20</v>
      </c>
      <c r="D17">
        <f t="shared" si="3"/>
        <v>7</v>
      </c>
      <c r="E17">
        <v>6</v>
      </c>
      <c r="H17">
        <v>1</v>
      </c>
      <c r="I17">
        <f t="shared" si="4"/>
        <v>0.8571428571428571</v>
      </c>
      <c r="J17">
        <f t="shared" si="5"/>
        <v>1</v>
      </c>
      <c r="K17">
        <f t="shared" si="6"/>
        <v>0.8571428571428571</v>
      </c>
      <c r="L17">
        <f t="shared" si="7"/>
        <v>0.92307692307692302</v>
      </c>
      <c r="M17">
        <f t="shared" si="8"/>
        <v>8</v>
      </c>
      <c r="N17">
        <v>8</v>
      </c>
      <c r="R17">
        <f t="shared" si="9"/>
        <v>1</v>
      </c>
      <c r="S17">
        <f t="shared" si="10"/>
        <v>1</v>
      </c>
      <c r="T17">
        <f t="shared" si="11"/>
        <v>1</v>
      </c>
      <c r="U17">
        <f t="shared" si="12"/>
        <v>1</v>
      </c>
      <c r="V17">
        <f t="shared" si="13"/>
        <v>5</v>
      </c>
      <c r="W17">
        <v>4</v>
      </c>
      <c r="Y17">
        <v>1</v>
      </c>
      <c r="AA17">
        <f t="shared" si="14"/>
        <v>0.8</v>
      </c>
      <c r="AB17">
        <f t="shared" si="15"/>
        <v>0.8</v>
      </c>
      <c r="AC17">
        <f t="shared" si="16"/>
        <v>1</v>
      </c>
      <c r="AD17">
        <f t="shared" si="17"/>
        <v>0.88888888888888895</v>
      </c>
    </row>
    <row r="18" spans="1:30" x14ac:dyDescent="0.2">
      <c r="A18" s="23"/>
      <c r="B18" t="s">
        <v>277</v>
      </c>
      <c r="C18">
        <f t="shared" si="2"/>
        <v>20</v>
      </c>
      <c r="D18">
        <f t="shared" si="3"/>
        <v>7</v>
      </c>
      <c r="E18">
        <v>7</v>
      </c>
      <c r="I18">
        <f t="shared" si="4"/>
        <v>1</v>
      </c>
      <c r="J18">
        <f t="shared" si="5"/>
        <v>1</v>
      </c>
      <c r="K18">
        <f t="shared" si="6"/>
        <v>1</v>
      </c>
      <c r="L18">
        <f t="shared" si="7"/>
        <v>1</v>
      </c>
      <c r="M18">
        <f t="shared" si="8"/>
        <v>6</v>
      </c>
      <c r="N18">
        <v>6</v>
      </c>
      <c r="R18">
        <f t="shared" si="9"/>
        <v>1</v>
      </c>
      <c r="S18">
        <f t="shared" si="10"/>
        <v>1</v>
      </c>
      <c r="T18">
        <f t="shared" si="11"/>
        <v>1</v>
      </c>
      <c r="U18">
        <f t="shared" si="12"/>
        <v>1</v>
      </c>
      <c r="V18">
        <f t="shared" si="13"/>
        <v>7</v>
      </c>
      <c r="W18">
        <v>7</v>
      </c>
      <c r="AA18">
        <f t="shared" si="14"/>
        <v>1</v>
      </c>
      <c r="AB18">
        <f t="shared" si="15"/>
        <v>1</v>
      </c>
      <c r="AC18">
        <f t="shared" si="16"/>
        <v>1</v>
      </c>
      <c r="AD18">
        <f t="shared" si="17"/>
        <v>1</v>
      </c>
    </row>
    <row r="19" spans="1:30" x14ac:dyDescent="0.2">
      <c r="A19" s="23"/>
      <c r="B19" t="s">
        <v>276</v>
      </c>
      <c r="C19">
        <f t="shared" si="2"/>
        <v>20</v>
      </c>
      <c r="D19">
        <f t="shared" si="3"/>
        <v>7</v>
      </c>
      <c r="E19">
        <v>7</v>
      </c>
      <c r="I19">
        <f t="shared" si="4"/>
        <v>1</v>
      </c>
      <c r="J19">
        <f t="shared" si="5"/>
        <v>1</v>
      </c>
      <c r="K19">
        <f t="shared" si="6"/>
        <v>1</v>
      </c>
      <c r="L19">
        <f t="shared" si="7"/>
        <v>1</v>
      </c>
      <c r="M19">
        <f t="shared" si="8"/>
        <v>6</v>
      </c>
      <c r="N19">
        <v>5</v>
      </c>
      <c r="P19">
        <v>1</v>
      </c>
      <c r="R19">
        <f t="shared" si="9"/>
        <v>0.83333333333333337</v>
      </c>
      <c r="S19">
        <f t="shared" si="10"/>
        <v>0.83333333333333337</v>
      </c>
      <c r="T19">
        <f t="shared" si="11"/>
        <v>1</v>
      </c>
      <c r="U19">
        <f t="shared" si="12"/>
        <v>0.90909090909090906</v>
      </c>
      <c r="V19">
        <f t="shared" si="13"/>
        <v>7</v>
      </c>
      <c r="W19">
        <v>7</v>
      </c>
      <c r="AA19">
        <f t="shared" si="14"/>
        <v>1</v>
      </c>
      <c r="AB19">
        <f t="shared" si="15"/>
        <v>1</v>
      </c>
      <c r="AC19">
        <f t="shared" si="16"/>
        <v>1</v>
      </c>
      <c r="AD19">
        <f t="shared" si="17"/>
        <v>1</v>
      </c>
    </row>
    <row r="20" spans="1:30" x14ac:dyDescent="0.2">
      <c r="A20" s="23"/>
      <c r="B20" t="s">
        <v>275</v>
      </c>
      <c r="C20">
        <f t="shared" si="2"/>
        <v>20</v>
      </c>
      <c r="D20">
        <f t="shared" si="3"/>
        <v>8</v>
      </c>
      <c r="E20">
        <v>8</v>
      </c>
      <c r="I20">
        <f t="shared" si="4"/>
        <v>1</v>
      </c>
      <c r="J20">
        <f t="shared" si="5"/>
        <v>1</v>
      </c>
      <c r="K20">
        <f t="shared" si="6"/>
        <v>1</v>
      </c>
      <c r="L20">
        <f t="shared" si="7"/>
        <v>1</v>
      </c>
      <c r="M20">
        <f t="shared" si="8"/>
        <v>6</v>
      </c>
      <c r="N20">
        <v>6</v>
      </c>
      <c r="R20">
        <f t="shared" si="9"/>
        <v>1</v>
      </c>
      <c r="S20">
        <f t="shared" si="10"/>
        <v>1</v>
      </c>
      <c r="T20">
        <f t="shared" si="11"/>
        <v>1</v>
      </c>
      <c r="U20">
        <f t="shared" si="12"/>
        <v>1</v>
      </c>
      <c r="V20">
        <f t="shared" si="13"/>
        <v>6</v>
      </c>
      <c r="W20">
        <v>6</v>
      </c>
      <c r="AA20">
        <f t="shared" si="14"/>
        <v>1</v>
      </c>
      <c r="AB20">
        <f t="shared" si="15"/>
        <v>1</v>
      </c>
      <c r="AC20">
        <f t="shared" si="16"/>
        <v>1</v>
      </c>
      <c r="AD20">
        <f t="shared" si="17"/>
        <v>1</v>
      </c>
    </row>
    <row r="21" spans="1:30" x14ac:dyDescent="0.2">
      <c r="A21" s="23"/>
      <c r="B21" t="s">
        <v>274</v>
      </c>
      <c r="C21">
        <f t="shared" si="2"/>
        <v>20</v>
      </c>
      <c r="D21">
        <f t="shared" si="3"/>
        <v>8</v>
      </c>
      <c r="E21">
        <v>7</v>
      </c>
      <c r="H21">
        <v>1</v>
      </c>
      <c r="I21">
        <f t="shared" si="4"/>
        <v>0.875</v>
      </c>
      <c r="J21">
        <f t="shared" si="5"/>
        <v>1</v>
      </c>
      <c r="K21">
        <f t="shared" si="6"/>
        <v>0.875</v>
      </c>
      <c r="L21">
        <f t="shared" si="7"/>
        <v>0.93333333333333335</v>
      </c>
      <c r="M21">
        <f t="shared" si="8"/>
        <v>6</v>
      </c>
      <c r="N21">
        <v>5</v>
      </c>
      <c r="P21">
        <v>1</v>
      </c>
      <c r="R21">
        <f t="shared" si="9"/>
        <v>0.83333333333333337</v>
      </c>
      <c r="S21">
        <f t="shared" si="10"/>
        <v>0.83333333333333337</v>
      </c>
      <c r="T21">
        <f t="shared" si="11"/>
        <v>1</v>
      </c>
      <c r="U21">
        <f t="shared" si="12"/>
        <v>0.90909090909090906</v>
      </c>
      <c r="V21">
        <f t="shared" si="13"/>
        <v>6</v>
      </c>
      <c r="W21">
        <v>5</v>
      </c>
      <c r="Z21">
        <v>1</v>
      </c>
      <c r="AA21">
        <f t="shared" si="14"/>
        <v>0.83333333333333337</v>
      </c>
      <c r="AB21">
        <f t="shared" si="15"/>
        <v>1</v>
      </c>
      <c r="AC21">
        <f t="shared" si="16"/>
        <v>0.83333333333333337</v>
      </c>
      <c r="AD21">
        <f t="shared" si="17"/>
        <v>0.90909090909090906</v>
      </c>
    </row>
    <row r="22" spans="1:30" x14ac:dyDescent="0.2">
      <c r="A22" s="23"/>
      <c r="B22" t="s">
        <v>273</v>
      </c>
      <c r="C22">
        <f t="shared" si="2"/>
        <v>19</v>
      </c>
      <c r="D22">
        <f t="shared" si="3"/>
        <v>7</v>
      </c>
      <c r="E22">
        <v>7</v>
      </c>
      <c r="I22">
        <f t="shared" si="4"/>
        <v>1</v>
      </c>
      <c r="J22">
        <f t="shared" si="5"/>
        <v>1</v>
      </c>
      <c r="K22">
        <f t="shared" si="6"/>
        <v>1</v>
      </c>
      <c r="L22">
        <f t="shared" si="7"/>
        <v>1</v>
      </c>
      <c r="M22">
        <f t="shared" si="8"/>
        <v>3</v>
      </c>
      <c r="N22">
        <v>3</v>
      </c>
      <c r="R22">
        <f t="shared" si="9"/>
        <v>1</v>
      </c>
      <c r="S22">
        <f t="shared" si="10"/>
        <v>1</v>
      </c>
      <c r="T22">
        <f t="shared" si="11"/>
        <v>1</v>
      </c>
      <c r="U22">
        <f t="shared" si="12"/>
        <v>1</v>
      </c>
      <c r="V22">
        <f t="shared" si="13"/>
        <v>9</v>
      </c>
      <c r="W22">
        <v>9</v>
      </c>
      <c r="AA22">
        <f t="shared" si="14"/>
        <v>1</v>
      </c>
      <c r="AB22">
        <f t="shared" si="15"/>
        <v>1</v>
      </c>
      <c r="AC22">
        <f t="shared" si="16"/>
        <v>1</v>
      </c>
      <c r="AD22">
        <f t="shared" si="17"/>
        <v>1</v>
      </c>
    </row>
    <row r="23" spans="1:30" x14ac:dyDescent="0.2">
      <c r="A23" s="23"/>
      <c r="B23" t="s">
        <v>272</v>
      </c>
      <c r="C23">
        <f t="shared" si="2"/>
        <v>20</v>
      </c>
      <c r="D23">
        <f t="shared" si="3"/>
        <v>8</v>
      </c>
      <c r="E23">
        <v>8</v>
      </c>
      <c r="I23">
        <f t="shared" si="4"/>
        <v>1</v>
      </c>
      <c r="J23">
        <f t="shared" si="5"/>
        <v>1</v>
      </c>
      <c r="K23">
        <f t="shared" si="6"/>
        <v>1</v>
      </c>
      <c r="L23">
        <f t="shared" si="7"/>
        <v>1</v>
      </c>
      <c r="M23">
        <f t="shared" si="8"/>
        <v>7</v>
      </c>
      <c r="N23">
        <v>6</v>
      </c>
      <c r="P23">
        <v>1</v>
      </c>
      <c r="R23">
        <f t="shared" si="9"/>
        <v>0.8571428571428571</v>
      </c>
      <c r="S23">
        <f t="shared" si="10"/>
        <v>0.8571428571428571</v>
      </c>
      <c r="T23">
        <f t="shared" si="11"/>
        <v>1</v>
      </c>
      <c r="U23">
        <f t="shared" si="12"/>
        <v>0.92307692307692302</v>
      </c>
      <c r="V23">
        <f t="shared" si="13"/>
        <v>5</v>
      </c>
      <c r="W23">
        <v>5</v>
      </c>
      <c r="AA23">
        <f t="shared" si="14"/>
        <v>1</v>
      </c>
      <c r="AB23">
        <f t="shared" si="15"/>
        <v>1</v>
      </c>
      <c r="AC23">
        <f t="shared" si="16"/>
        <v>1</v>
      </c>
      <c r="AD23">
        <f t="shared" si="17"/>
        <v>1</v>
      </c>
    </row>
    <row r="24" spans="1:30" x14ac:dyDescent="0.2">
      <c r="A24" s="23"/>
      <c r="B24" t="s">
        <v>271</v>
      </c>
      <c r="C24">
        <f t="shared" si="2"/>
        <v>20</v>
      </c>
      <c r="D24">
        <f t="shared" si="3"/>
        <v>8</v>
      </c>
      <c r="E24">
        <v>8</v>
      </c>
      <c r="I24">
        <f t="shared" si="4"/>
        <v>1</v>
      </c>
      <c r="J24">
        <f t="shared" si="5"/>
        <v>1</v>
      </c>
      <c r="K24">
        <f t="shared" si="6"/>
        <v>1</v>
      </c>
      <c r="L24">
        <f t="shared" si="7"/>
        <v>1</v>
      </c>
      <c r="M24">
        <f t="shared" si="8"/>
        <v>6</v>
      </c>
      <c r="N24">
        <v>6</v>
      </c>
      <c r="R24">
        <f t="shared" si="9"/>
        <v>1</v>
      </c>
      <c r="S24">
        <f t="shared" si="10"/>
        <v>1</v>
      </c>
      <c r="T24">
        <f t="shared" si="11"/>
        <v>1</v>
      </c>
      <c r="U24">
        <f t="shared" si="12"/>
        <v>1</v>
      </c>
      <c r="V24">
        <f t="shared" si="13"/>
        <v>6</v>
      </c>
      <c r="W24">
        <v>6</v>
      </c>
      <c r="AA24">
        <f t="shared" si="14"/>
        <v>1</v>
      </c>
      <c r="AB24">
        <f t="shared" si="15"/>
        <v>1</v>
      </c>
      <c r="AC24">
        <f t="shared" si="16"/>
        <v>1</v>
      </c>
      <c r="AD24">
        <f t="shared" si="17"/>
        <v>1</v>
      </c>
    </row>
    <row r="25" spans="1:30" x14ac:dyDescent="0.2">
      <c r="A25" s="23"/>
      <c r="B25" t="s">
        <v>270</v>
      </c>
      <c r="C25">
        <f t="shared" si="2"/>
        <v>20</v>
      </c>
      <c r="D25">
        <f t="shared" si="3"/>
        <v>7</v>
      </c>
      <c r="E25">
        <v>6</v>
      </c>
      <c r="H25">
        <v>1</v>
      </c>
      <c r="I25">
        <f t="shared" si="4"/>
        <v>0.8571428571428571</v>
      </c>
      <c r="J25">
        <f t="shared" si="5"/>
        <v>1</v>
      </c>
      <c r="K25">
        <f t="shared" si="6"/>
        <v>0.8571428571428571</v>
      </c>
      <c r="L25">
        <f t="shared" si="7"/>
        <v>0.92307692307692302</v>
      </c>
      <c r="M25">
        <f t="shared" si="8"/>
        <v>7</v>
      </c>
      <c r="N25">
        <v>7</v>
      </c>
      <c r="R25">
        <f t="shared" si="9"/>
        <v>1</v>
      </c>
      <c r="S25">
        <f t="shared" si="10"/>
        <v>1</v>
      </c>
      <c r="T25">
        <f t="shared" si="11"/>
        <v>1</v>
      </c>
      <c r="U25">
        <f t="shared" si="12"/>
        <v>1</v>
      </c>
      <c r="V25">
        <f t="shared" si="13"/>
        <v>6</v>
      </c>
      <c r="W25">
        <v>6</v>
      </c>
      <c r="AA25">
        <f t="shared" si="14"/>
        <v>1</v>
      </c>
      <c r="AB25">
        <f t="shared" si="15"/>
        <v>1</v>
      </c>
      <c r="AC25">
        <f t="shared" si="16"/>
        <v>1</v>
      </c>
      <c r="AD25">
        <f t="shared" si="17"/>
        <v>1</v>
      </c>
    </row>
    <row r="26" spans="1:30" x14ac:dyDescent="0.2">
      <c r="A26" s="23"/>
      <c r="B26" t="s">
        <v>269</v>
      </c>
      <c r="C26">
        <f t="shared" si="2"/>
        <v>20</v>
      </c>
      <c r="D26">
        <f t="shared" si="3"/>
        <v>8</v>
      </c>
      <c r="E26">
        <v>8</v>
      </c>
      <c r="I26">
        <f t="shared" si="4"/>
        <v>1</v>
      </c>
      <c r="J26">
        <f t="shared" si="5"/>
        <v>1</v>
      </c>
      <c r="K26">
        <f t="shared" si="6"/>
        <v>1</v>
      </c>
      <c r="L26">
        <f t="shared" si="7"/>
        <v>1</v>
      </c>
      <c r="M26">
        <f t="shared" si="8"/>
        <v>6</v>
      </c>
      <c r="N26">
        <v>6</v>
      </c>
      <c r="R26">
        <f t="shared" si="9"/>
        <v>1</v>
      </c>
      <c r="S26">
        <f t="shared" si="10"/>
        <v>1</v>
      </c>
      <c r="T26">
        <f t="shared" si="11"/>
        <v>1</v>
      </c>
      <c r="U26">
        <f t="shared" si="12"/>
        <v>1</v>
      </c>
      <c r="V26">
        <f t="shared" si="13"/>
        <v>6</v>
      </c>
      <c r="W26">
        <v>6</v>
      </c>
      <c r="AA26">
        <f t="shared" si="14"/>
        <v>1</v>
      </c>
      <c r="AB26">
        <f t="shared" si="15"/>
        <v>1</v>
      </c>
      <c r="AC26">
        <f t="shared" si="16"/>
        <v>1</v>
      </c>
      <c r="AD26">
        <f t="shared" si="17"/>
        <v>1</v>
      </c>
    </row>
    <row r="27" spans="1:30" x14ac:dyDescent="0.2">
      <c r="A27" s="23"/>
      <c r="B27" t="s">
        <v>268</v>
      </c>
      <c r="C27">
        <f t="shared" si="2"/>
        <v>20</v>
      </c>
      <c r="D27">
        <f t="shared" si="3"/>
        <v>9</v>
      </c>
      <c r="E27">
        <v>9</v>
      </c>
      <c r="I27">
        <f t="shared" si="4"/>
        <v>1</v>
      </c>
      <c r="J27">
        <f t="shared" si="5"/>
        <v>1</v>
      </c>
      <c r="K27">
        <f t="shared" si="6"/>
        <v>1</v>
      </c>
      <c r="L27">
        <f t="shared" si="7"/>
        <v>1</v>
      </c>
      <c r="M27">
        <f t="shared" si="8"/>
        <v>6</v>
      </c>
      <c r="N27">
        <v>5</v>
      </c>
      <c r="P27">
        <v>1</v>
      </c>
      <c r="R27">
        <f t="shared" si="9"/>
        <v>0.83333333333333337</v>
      </c>
      <c r="S27">
        <f t="shared" si="10"/>
        <v>0.83333333333333337</v>
      </c>
      <c r="T27">
        <f t="shared" si="11"/>
        <v>1</v>
      </c>
      <c r="U27">
        <f t="shared" si="12"/>
        <v>0.90909090909090906</v>
      </c>
      <c r="V27">
        <f t="shared" si="13"/>
        <v>5</v>
      </c>
      <c r="W27">
        <v>5</v>
      </c>
      <c r="AA27">
        <f t="shared" si="14"/>
        <v>1</v>
      </c>
      <c r="AB27">
        <f t="shared" si="15"/>
        <v>1</v>
      </c>
      <c r="AC27">
        <f t="shared" si="16"/>
        <v>1</v>
      </c>
      <c r="AD27">
        <f t="shared" si="17"/>
        <v>1</v>
      </c>
    </row>
    <row r="28" spans="1:30" x14ac:dyDescent="0.2">
      <c r="A28" s="23"/>
      <c r="B28" t="s">
        <v>267</v>
      </c>
      <c r="C28">
        <f t="shared" si="2"/>
        <v>19</v>
      </c>
      <c r="D28">
        <f t="shared" si="3"/>
        <v>7</v>
      </c>
      <c r="E28">
        <v>7</v>
      </c>
      <c r="I28">
        <f t="shared" si="4"/>
        <v>1</v>
      </c>
      <c r="J28">
        <f t="shared" si="5"/>
        <v>1</v>
      </c>
      <c r="K28">
        <f t="shared" si="6"/>
        <v>1</v>
      </c>
      <c r="L28">
        <f t="shared" si="7"/>
        <v>1</v>
      </c>
      <c r="M28">
        <f t="shared" si="8"/>
        <v>6</v>
      </c>
      <c r="N28">
        <v>5</v>
      </c>
      <c r="P28">
        <v>1</v>
      </c>
      <c r="R28">
        <f t="shared" si="9"/>
        <v>0.83333333333333337</v>
      </c>
      <c r="S28">
        <f t="shared" si="10"/>
        <v>0.83333333333333337</v>
      </c>
      <c r="T28">
        <f t="shared" si="11"/>
        <v>1</v>
      </c>
      <c r="U28">
        <f t="shared" si="12"/>
        <v>0.90909090909090906</v>
      </c>
      <c r="V28">
        <f t="shared" si="13"/>
        <v>6</v>
      </c>
      <c r="W28">
        <v>6</v>
      </c>
      <c r="AA28">
        <f t="shared" si="14"/>
        <v>1</v>
      </c>
      <c r="AB28">
        <f t="shared" si="15"/>
        <v>1</v>
      </c>
      <c r="AC28">
        <f t="shared" si="16"/>
        <v>1</v>
      </c>
      <c r="AD28">
        <f t="shared" si="17"/>
        <v>1</v>
      </c>
    </row>
    <row r="29" spans="1:30" x14ac:dyDescent="0.2">
      <c r="A29" s="23"/>
      <c r="B29" t="s">
        <v>266</v>
      </c>
      <c r="C29">
        <f t="shared" si="2"/>
        <v>20</v>
      </c>
      <c r="D29">
        <f t="shared" si="3"/>
        <v>8</v>
      </c>
      <c r="E29">
        <v>7</v>
      </c>
      <c r="G29">
        <v>1</v>
      </c>
      <c r="I29">
        <f t="shared" si="4"/>
        <v>0.875</v>
      </c>
      <c r="J29">
        <f t="shared" si="5"/>
        <v>0.875</v>
      </c>
      <c r="K29">
        <f t="shared" si="6"/>
        <v>1</v>
      </c>
      <c r="L29">
        <f t="shared" si="7"/>
        <v>0.93333333333333335</v>
      </c>
      <c r="M29">
        <f t="shared" si="8"/>
        <v>6</v>
      </c>
      <c r="N29">
        <v>6</v>
      </c>
      <c r="R29">
        <f t="shared" si="9"/>
        <v>1</v>
      </c>
      <c r="S29">
        <f t="shared" si="10"/>
        <v>1</v>
      </c>
      <c r="T29">
        <f t="shared" si="11"/>
        <v>1</v>
      </c>
      <c r="U29">
        <f t="shared" si="12"/>
        <v>1</v>
      </c>
      <c r="V29">
        <f t="shared" si="13"/>
        <v>6</v>
      </c>
      <c r="W29">
        <v>6</v>
      </c>
      <c r="AA29">
        <f t="shared" si="14"/>
        <v>1</v>
      </c>
      <c r="AB29">
        <f t="shared" si="15"/>
        <v>1</v>
      </c>
      <c r="AC29">
        <f t="shared" si="16"/>
        <v>1</v>
      </c>
      <c r="AD29">
        <f t="shared" si="17"/>
        <v>1</v>
      </c>
    </row>
    <row r="30" spans="1:30" x14ac:dyDescent="0.2">
      <c r="A30" s="23"/>
      <c r="B30" t="s">
        <v>265</v>
      </c>
      <c r="C30">
        <f t="shared" si="2"/>
        <v>20</v>
      </c>
      <c r="D30">
        <f t="shared" si="3"/>
        <v>8</v>
      </c>
      <c r="E30">
        <v>8</v>
      </c>
      <c r="I30">
        <f t="shared" si="4"/>
        <v>1</v>
      </c>
      <c r="J30">
        <f t="shared" si="5"/>
        <v>1</v>
      </c>
      <c r="K30">
        <f t="shared" si="6"/>
        <v>1</v>
      </c>
      <c r="L30">
        <f t="shared" si="7"/>
        <v>1</v>
      </c>
      <c r="M30">
        <f t="shared" si="8"/>
        <v>4</v>
      </c>
      <c r="N30">
        <v>4</v>
      </c>
      <c r="R30">
        <f t="shared" si="9"/>
        <v>1</v>
      </c>
      <c r="S30">
        <f t="shared" si="10"/>
        <v>1</v>
      </c>
      <c r="T30">
        <f t="shared" si="11"/>
        <v>1</v>
      </c>
      <c r="U30">
        <f t="shared" si="12"/>
        <v>1</v>
      </c>
      <c r="V30">
        <f t="shared" si="13"/>
        <v>8</v>
      </c>
      <c r="W30">
        <v>8</v>
      </c>
      <c r="AA30">
        <f t="shared" si="14"/>
        <v>1</v>
      </c>
      <c r="AB30">
        <f t="shared" si="15"/>
        <v>1</v>
      </c>
      <c r="AC30">
        <f t="shared" si="16"/>
        <v>1</v>
      </c>
      <c r="AD30">
        <f t="shared" si="17"/>
        <v>1</v>
      </c>
    </row>
    <row r="31" spans="1:30" x14ac:dyDescent="0.2">
      <c r="A31" s="23"/>
      <c r="B31" t="s">
        <v>264</v>
      </c>
      <c r="C31">
        <f t="shared" si="2"/>
        <v>20</v>
      </c>
      <c r="D31">
        <f t="shared" si="3"/>
        <v>8</v>
      </c>
      <c r="E31">
        <v>8</v>
      </c>
      <c r="I31">
        <f t="shared" si="4"/>
        <v>1</v>
      </c>
      <c r="J31">
        <f t="shared" si="5"/>
        <v>1</v>
      </c>
      <c r="K31">
        <f t="shared" si="6"/>
        <v>1</v>
      </c>
      <c r="L31">
        <f t="shared" si="7"/>
        <v>1</v>
      </c>
      <c r="M31">
        <f t="shared" si="8"/>
        <v>6</v>
      </c>
      <c r="N31">
        <v>4</v>
      </c>
      <c r="P31">
        <v>2</v>
      </c>
      <c r="R31">
        <f t="shared" si="9"/>
        <v>0.66666666666666663</v>
      </c>
      <c r="S31">
        <f t="shared" si="10"/>
        <v>0.66666666666666663</v>
      </c>
      <c r="T31">
        <f t="shared" si="11"/>
        <v>1</v>
      </c>
      <c r="U31">
        <f t="shared" si="12"/>
        <v>0.8</v>
      </c>
      <c r="V31">
        <f t="shared" si="13"/>
        <v>6</v>
      </c>
      <c r="W31">
        <v>6</v>
      </c>
      <c r="AA31">
        <f t="shared" si="14"/>
        <v>1</v>
      </c>
      <c r="AB31">
        <f t="shared" si="15"/>
        <v>1</v>
      </c>
      <c r="AC31">
        <f t="shared" si="16"/>
        <v>1</v>
      </c>
      <c r="AD31">
        <f t="shared" si="17"/>
        <v>1</v>
      </c>
    </row>
    <row r="32" spans="1:30" x14ac:dyDescent="0.2">
      <c r="A32" s="23"/>
      <c r="B32" t="s">
        <v>263</v>
      </c>
      <c r="C32">
        <f t="shared" si="2"/>
        <v>20</v>
      </c>
      <c r="D32">
        <f t="shared" si="3"/>
        <v>8</v>
      </c>
      <c r="E32">
        <v>7</v>
      </c>
      <c r="H32">
        <v>1</v>
      </c>
      <c r="I32">
        <f t="shared" si="4"/>
        <v>0.875</v>
      </c>
      <c r="J32">
        <f t="shared" si="5"/>
        <v>1</v>
      </c>
      <c r="K32">
        <f t="shared" si="6"/>
        <v>0.875</v>
      </c>
      <c r="L32">
        <f t="shared" si="7"/>
        <v>0.93333333333333335</v>
      </c>
      <c r="M32">
        <f t="shared" si="8"/>
        <v>7</v>
      </c>
      <c r="N32">
        <v>7</v>
      </c>
      <c r="R32">
        <f t="shared" si="9"/>
        <v>1</v>
      </c>
      <c r="S32">
        <f t="shared" si="10"/>
        <v>1</v>
      </c>
      <c r="T32">
        <f t="shared" si="11"/>
        <v>1</v>
      </c>
      <c r="U32">
        <f t="shared" si="12"/>
        <v>1</v>
      </c>
      <c r="V32">
        <f t="shared" si="13"/>
        <v>5</v>
      </c>
      <c r="W32">
        <v>5</v>
      </c>
      <c r="AA32">
        <f t="shared" si="14"/>
        <v>1</v>
      </c>
      <c r="AB32">
        <f t="shared" si="15"/>
        <v>1</v>
      </c>
      <c r="AC32">
        <f t="shared" si="16"/>
        <v>1</v>
      </c>
      <c r="AD32">
        <f t="shared" si="17"/>
        <v>1</v>
      </c>
    </row>
    <row r="33" spans="1:30" x14ac:dyDescent="0.2">
      <c r="A33" s="23"/>
      <c r="B33" t="s">
        <v>262</v>
      </c>
      <c r="C33">
        <f t="shared" si="2"/>
        <v>20</v>
      </c>
      <c r="D33">
        <f t="shared" si="3"/>
        <v>8</v>
      </c>
      <c r="E33">
        <v>8</v>
      </c>
      <c r="I33">
        <f t="shared" si="4"/>
        <v>1</v>
      </c>
      <c r="J33">
        <f t="shared" si="5"/>
        <v>1</v>
      </c>
      <c r="K33">
        <f t="shared" si="6"/>
        <v>1</v>
      </c>
      <c r="L33">
        <f t="shared" si="7"/>
        <v>1</v>
      </c>
      <c r="M33">
        <f t="shared" si="8"/>
        <v>6</v>
      </c>
      <c r="N33">
        <v>5</v>
      </c>
      <c r="P33">
        <v>1</v>
      </c>
      <c r="R33">
        <f t="shared" si="9"/>
        <v>0.83333333333333337</v>
      </c>
      <c r="S33">
        <f t="shared" si="10"/>
        <v>0.83333333333333337</v>
      </c>
      <c r="T33">
        <f t="shared" si="11"/>
        <v>1</v>
      </c>
      <c r="U33">
        <f t="shared" si="12"/>
        <v>0.90909090909090906</v>
      </c>
      <c r="V33">
        <f t="shared" si="13"/>
        <v>6</v>
      </c>
      <c r="W33">
        <v>5</v>
      </c>
      <c r="Y33">
        <v>1</v>
      </c>
      <c r="AA33">
        <f t="shared" si="14"/>
        <v>0.83333333333333337</v>
      </c>
      <c r="AB33">
        <f t="shared" si="15"/>
        <v>0.83333333333333337</v>
      </c>
      <c r="AC33">
        <f t="shared" si="16"/>
        <v>1</v>
      </c>
      <c r="AD33">
        <f t="shared" si="17"/>
        <v>0.90909090909090906</v>
      </c>
    </row>
    <row r="34" spans="1:30" x14ac:dyDescent="0.2">
      <c r="A34" s="23"/>
      <c r="B34" t="s">
        <v>261</v>
      </c>
      <c r="C34">
        <f t="shared" si="2"/>
        <v>20</v>
      </c>
      <c r="D34">
        <f t="shared" si="3"/>
        <v>8</v>
      </c>
      <c r="E34">
        <v>8</v>
      </c>
      <c r="I34">
        <f t="shared" si="4"/>
        <v>1</v>
      </c>
      <c r="J34">
        <f t="shared" si="5"/>
        <v>1</v>
      </c>
      <c r="K34">
        <f t="shared" si="6"/>
        <v>1</v>
      </c>
      <c r="L34">
        <f t="shared" si="7"/>
        <v>1</v>
      </c>
      <c r="M34">
        <f t="shared" si="8"/>
        <v>6</v>
      </c>
      <c r="N34">
        <v>6</v>
      </c>
      <c r="R34">
        <f t="shared" si="9"/>
        <v>1</v>
      </c>
      <c r="S34">
        <f t="shared" si="10"/>
        <v>1</v>
      </c>
      <c r="T34">
        <f t="shared" si="11"/>
        <v>1</v>
      </c>
      <c r="U34">
        <f t="shared" si="12"/>
        <v>1</v>
      </c>
      <c r="V34">
        <f t="shared" si="13"/>
        <v>6</v>
      </c>
      <c r="W34">
        <v>6</v>
      </c>
      <c r="AA34">
        <f t="shared" si="14"/>
        <v>1</v>
      </c>
      <c r="AB34">
        <f t="shared" si="15"/>
        <v>1</v>
      </c>
      <c r="AC34">
        <f t="shared" si="16"/>
        <v>1</v>
      </c>
      <c r="AD34">
        <f t="shared" si="17"/>
        <v>1</v>
      </c>
    </row>
    <row r="35" spans="1:30" x14ac:dyDescent="0.2">
      <c r="A35" s="23"/>
      <c r="B35" t="s">
        <v>260</v>
      </c>
      <c r="C35">
        <f t="shared" si="2"/>
        <v>20</v>
      </c>
      <c r="D35">
        <f t="shared" si="3"/>
        <v>7</v>
      </c>
      <c r="E35">
        <v>7</v>
      </c>
      <c r="I35">
        <f t="shared" si="4"/>
        <v>1</v>
      </c>
      <c r="J35">
        <f t="shared" si="5"/>
        <v>1</v>
      </c>
      <c r="K35">
        <f t="shared" si="6"/>
        <v>1</v>
      </c>
      <c r="L35">
        <f t="shared" si="7"/>
        <v>1</v>
      </c>
      <c r="M35">
        <f t="shared" si="8"/>
        <v>6</v>
      </c>
      <c r="N35">
        <v>6</v>
      </c>
      <c r="R35">
        <f t="shared" si="9"/>
        <v>1</v>
      </c>
      <c r="S35">
        <f t="shared" si="10"/>
        <v>1</v>
      </c>
      <c r="T35">
        <f t="shared" si="11"/>
        <v>1</v>
      </c>
      <c r="U35">
        <f t="shared" si="12"/>
        <v>1</v>
      </c>
      <c r="V35">
        <f t="shared" si="13"/>
        <v>7</v>
      </c>
      <c r="W35">
        <v>7</v>
      </c>
      <c r="AA35">
        <f t="shared" si="14"/>
        <v>1</v>
      </c>
      <c r="AB35">
        <f t="shared" si="15"/>
        <v>1</v>
      </c>
      <c r="AC35">
        <f t="shared" si="16"/>
        <v>1</v>
      </c>
      <c r="AD35">
        <f t="shared" si="17"/>
        <v>1</v>
      </c>
    </row>
    <row r="36" spans="1:30" x14ac:dyDescent="0.2">
      <c r="A36" s="23"/>
      <c r="B36" t="s">
        <v>259</v>
      </c>
      <c r="C36">
        <f t="shared" si="2"/>
        <v>20</v>
      </c>
      <c r="D36">
        <f t="shared" si="3"/>
        <v>7</v>
      </c>
      <c r="E36">
        <v>7</v>
      </c>
      <c r="I36">
        <f t="shared" si="4"/>
        <v>1</v>
      </c>
      <c r="J36">
        <f t="shared" si="5"/>
        <v>1</v>
      </c>
      <c r="K36">
        <f t="shared" si="6"/>
        <v>1</v>
      </c>
      <c r="L36">
        <f t="shared" si="7"/>
        <v>1</v>
      </c>
      <c r="M36">
        <f t="shared" si="8"/>
        <v>5</v>
      </c>
      <c r="N36">
        <v>5</v>
      </c>
      <c r="R36">
        <f t="shared" si="9"/>
        <v>1</v>
      </c>
      <c r="S36">
        <f t="shared" si="10"/>
        <v>1</v>
      </c>
      <c r="T36">
        <f t="shared" si="11"/>
        <v>1</v>
      </c>
      <c r="U36">
        <f t="shared" si="12"/>
        <v>1</v>
      </c>
      <c r="V36">
        <f t="shared" si="13"/>
        <v>8</v>
      </c>
      <c r="W36">
        <v>8</v>
      </c>
      <c r="AA36">
        <f t="shared" si="14"/>
        <v>1</v>
      </c>
      <c r="AB36">
        <f t="shared" si="15"/>
        <v>1</v>
      </c>
      <c r="AC36">
        <f t="shared" si="16"/>
        <v>1</v>
      </c>
      <c r="AD36">
        <f t="shared" si="17"/>
        <v>1</v>
      </c>
    </row>
    <row r="37" spans="1:30" x14ac:dyDescent="0.2">
      <c r="A37" s="23"/>
      <c r="B37" t="s">
        <v>258</v>
      </c>
      <c r="C37">
        <f t="shared" si="2"/>
        <v>20</v>
      </c>
      <c r="D37">
        <f t="shared" si="3"/>
        <v>8</v>
      </c>
      <c r="E37">
        <v>8</v>
      </c>
      <c r="I37">
        <f t="shared" si="4"/>
        <v>1</v>
      </c>
      <c r="J37">
        <f t="shared" si="5"/>
        <v>1</v>
      </c>
      <c r="K37">
        <f t="shared" si="6"/>
        <v>1</v>
      </c>
      <c r="L37">
        <f t="shared" si="7"/>
        <v>1</v>
      </c>
      <c r="M37">
        <f t="shared" si="8"/>
        <v>5</v>
      </c>
      <c r="N37">
        <v>5</v>
      </c>
      <c r="R37">
        <f t="shared" si="9"/>
        <v>1</v>
      </c>
      <c r="S37">
        <f t="shared" si="10"/>
        <v>1</v>
      </c>
      <c r="T37">
        <f t="shared" si="11"/>
        <v>1</v>
      </c>
      <c r="U37">
        <f t="shared" si="12"/>
        <v>1</v>
      </c>
      <c r="V37">
        <f t="shared" si="13"/>
        <v>7</v>
      </c>
      <c r="W37">
        <v>7</v>
      </c>
      <c r="AA37">
        <f t="shared" si="14"/>
        <v>1</v>
      </c>
      <c r="AB37">
        <f t="shared" si="15"/>
        <v>1</v>
      </c>
      <c r="AC37">
        <f t="shared" si="16"/>
        <v>1</v>
      </c>
      <c r="AD37">
        <f t="shared" si="17"/>
        <v>1</v>
      </c>
    </row>
    <row r="38" spans="1:30" x14ac:dyDescent="0.2">
      <c r="A38" s="23"/>
      <c r="B38" t="s">
        <v>257</v>
      </c>
      <c r="C38">
        <f t="shared" si="2"/>
        <v>20</v>
      </c>
      <c r="D38">
        <f t="shared" si="3"/>
        <v>9</v>
      </c>
      <c r="E38">
        <v>9</v>
      </c>
      <c r="I38">
        <f t="shared" si="4"/>
        <v>1</v>
      </c>
      <c r="J38">
        <f t="shared" si="5"/>
        <v>1</v>
      </c>
      <c r="K38">
        <f t="shared" si="6"/>
        <v>1</v>
      </c>
      <c r="L38">
        <f t="shared" si="7"/>
        <v>1</v>
      </c>
      <c r="M38">
        <f t="shared" si="8"/>
        <v>6</v>
      </c>
      <c r="N38">
        <v>6</v>
      </c>
      <c r="R38">
        <f t="shared" si="9"/>
        <v>1</v>
      </c>
      <c r="S38">
        <f t="shared" si="10"/>
        <v>1</v>
      </c>
      <c r="T38">
        <f t="shared" si="11"/>
        <v>1</v>
      </c>
      <c r="U38">
        <f t="shared" si="12"/>
        <v>1</v>
      </c>
      <c r="V38">
        <f t="shared" si="13"/>
        <v>5</v>
      </c>
      <c r="W38">
        <v>5</v>
      </c>
      <c r="AA38">
        <f t="shared" si="14"/>
        <v>1</v>
      </c>
      <c r="AB38">
        <f t="shared" si="15"/>
        <v>1</v>
      </c>
      <c r="AC38">
        <f t="shared" si="16"/>
        <v>1</v>
      </c>
      <c r="AD38">
        <f t="shared" si="17"/>
        <v>1</v>
      </c>
    </row>
    <row r="39" spans="1:30" x14ac:dyDescent="0.2">
      <c r="A39" s="23"/>
      <c r="B39" t="s">
        <v>256</v>
      </c>
      <c r="C39">
        <f t="shared" si="2"/>
        <v>20</v>
      </c>
      <c r="D39">
        <f t="shared" si="3"/>
        <v>7</v>
      </c>
      <c r="E39">
        <v>7</v>
      </c>
      <c r="I39">
        <f t="shared" si="4"/>
        <v>1</v>
      </c>
      <c r="J39">
        <f t="shared" si="5"/>
        <v>1</v>
      </c>
      <c r="K39">
        <f t="shared" si="6"/>
        <v>1</v>
      </c>
      <c r="L39">
        <f t="shared" si="7"/>
        <v>1</v>
      </c>
      <c r="M39">
        <f t="shared" si="8"/>
        <v>5</v>
      </c>
      <c r="N39">
        <v>4</v>
      </c>
      <c r="P39">
        <v>1</v>
      </c>
      <c r="R39">
        <f t="shared" si="9"/>
        <v>0.8</v>
      </c>
      <c r="S39">
        <f t="shared" si="10"/>
        <v>0.8</v>
      </c>
      <c r="T39">
        <f t="shared" si="11"/>
        <v>1</v>
      </c>
      <c r="U39">
        <f t="shared" si="12"/>
        <v>0.88888888888888895</v>
      </c>
      <c r="V39">
        <f t="shared" si="13"/>
        <v>8</v>
      </c>
      <c r="W39">
        <v>8</v>
      </c>
      <c r="AA39">
        <f t="shared" si="14"/>
        <v>1</v>
      </c>
      <c r="AB39">
        <f t="shared" si="15"/>
        <v>1</v>
      </c>
      <c r="AC39">
        <f t="shared" si="16"/>
        <v>1</v>
      </c>
      <c r="AD39">
        <f t="shared" si="17"/>
        <v>1</v>
      </c>
    </row>
    <row r="40" spans="1:30" x14ac:dyDescent="0.2">
      <c r="A40" s="23"/>
      <c r="B40" t="s">
        <v>255</v>
      </c>
      <c r="C40">
        <f t="shared" si="2"/>
        <v>20</v>
      </c>
      <c r="D40">
        <f t="shared" si="3"/>
        <v>8</v>
      </c>
      <c r="E40">
        <v>8</v>
      </c>
      <c r="I40">
        <f t="shared" si="4"/>
        <v>1</v>
      </c>
      <c r="J40">
        <f t="shared" si="5"/>
        <v>1</v>
      </c>
      <c r="K40">
        <f t="shared" si="6"/>
        <v>1</v>
      </c>
      <c r="L40">
        <f t="shared" si="7"/>
        <v>1</v>
      </c>
      <c r="M40">
        <f t="shared" si="8"/>
        <v>6</v>
      </c>
      <c r="N40">
        <v>6</v>
      </c>
      <c r="R40">
        <f t="shared" si="9"/>
        <v>1</v>
      </c>
      <c r="S40">
        <f t="shared" si="10"/>
        <v>1</v>
      </c>
      <c r="T40">
        <f t="shared" si="11"/>
        <v>1</v>
      </c>
      <c r="U40">
        <f t="shared" si="12"/>
        <v>1</v>
      </c>
      <c r="V40">
        <f t="shared" si="13"/>
        <v>6</v>
      </c>
      <c r="W40">
        <v>6</v>
      </c>
      <c r="AA40">
        <f t="shared" si="14"/>
        <v>1</v>
      </c>
      <c r="AB40">
        <f t="shared" si="15"/>
        <v>1</v>
      </c>
      <c r="AC40">
        <f t="shared" si="16"/>
        <v>1</v>
      </c>
      <c r="AD40">
        <f t="shared" si="17"/>
        <v>1</v>
      </c>
    </row>
    <row r="41" spans="1:30" x14ac:dyDescent="0.2">
      <c r="A41" s="23"/>
      <c r="B41" t="s">
        <v>254</v>
      </c>
      <c r="C41">
        <f t="shared" si="2"/>
        <v>20</v>
      </c>
      <c r="D41">
        <f t="shared" si="3"/>
        <v>8</v>
      </c>
      <c r="E41">
        <v>7</v>
      </c>
      <c r="G41">
        <v>1</v>
      </c>
      <c r="I41">
        <f t="shared" si="4"/>
        <v>0.875</v>
      </c>
      <c r="J41">
        <f t="shared" si="5"/>
        <v>0.875</v>
      </c>
      <c r="K41">
        <f t="shared" si="6"/>
        <v>1</v>
      </c>
      <c r="L41">
        <f t="shared" si="7"/>
        <v>0.93333333333333335</v>
      </c>
      <c r="M41">
        <f t="shared" si="8"/>
        <v>6</v>
      </c>
      <c r="N41">
        <v>6</v>
      </c>
      <c r="R41">
        <f t="shared" si="9"/>
        <v>1</v>
      </c>
      <c r="S41">
        <f t="shared" si="10"/>
        <v>1</v>
      </c>
      <c r="T41">
        <f t="shared" si="11"/>
        <v>1</v>
      </c>
      <c r="U41">
        <f t="shared" si="12"/>
        <v>1</v>
      </c>
      <c r="V41">
        <f t="shared" si="13"/>
        <v>6</v>
      </c>
      <c r="W41">
        <v>5</v>
      </c>
      <c r="Y41">
        <v>1</v>
      </c>
      <c r="AA41">
        <f t="shared" si="14"/>
        <v>0.83333333333333337</v>
      </c>
      <c r="AB41">
        <f t="shared" si="15"/>
        <v>0.83333333333333337</v>
      </c>
      <c r="AC41">
        <f t="shared" si="16"/>
        <v>1</v>
      </c>
      <c r="AD41">
        <f t="shared" si="17"/>
        <v>0.90909090909090906</v>
      </c>
    </row>
    <row r="42" spans="1:30" x14ac:dyDescent="0.2">
      <c r="A42" s="23"/>
      <c r="B42" t="s">
        <v>253</v>
      </c>
      <c r="C42">
        <f t="shared" si="2"/>
        <v>20</v>
      </c>
      <c r="D42">
        <f t="shared" si="3"/>
        <v>9</v>
      </c>
      <c r="E42">
        <v>9</v>
      </c>
      <c r="I42">
        <f t="shared" si="4"/>
        <v>1</v>
      </c>
      <c r="J42">
        <f t="shared" si="5"/>
        <v>1</v>
      </c>
      <c r="K42">
        <f t="shared" si="6"/>
        <v>1</v>
      </c>
      <c r="L42">
        <f t="shared" si="7"/>
        <v>1</v>
      </c>
      <c r="M42">
        <f t="shared" si="8"/>
        <v>6</v>
      </c>
      <c r="N42">
        <v>6</v>
      </c>
      <c r="R42">
        <f t="shared" si="9"/>
        <v>1</v>
      </c>
      <c r="S42">
        <f t="shared" si="10"/>
        <v>1</v>
      </c>
      <c r="T42">
        <f t="shared" si="11"/>
        <v>1</v>
      </c>
      <c r="U42">
        <f t="shared" si="12"/>
        <v>1</v>
      </c>
      <c r="V42">
        <f t="shared" si="13"/>
        <v>5</v>
      </c>
      <c r="W42">
        <v>5</v>
      </c>
      <c r="AA42">
        <f t="shared" si="14"/>
        <v>1</v>
      </c>
      <c r="AB42">
        <f t="shared" si="15"/>
        <v>1</v>
      </c>
      <c r="AC42">
        <f t="shared" si="16"/>
        <v>1</v>
      </c>
      <c r="AD42">
        <f t="shared" si="17"/>
        <v>1</v>
      </c>
    </row>
    <row r="43" spans="1:30" x14ac:dyDescent="0.2">
      <c r="A43" s="23"/>
      <c r="B43" t="s">
        <v>252</v>
      </c>
      <c r="C43">
        <f t="shared" si="2"/>
        <v>20</v>
      </c>
      <c r="D43">
        <f t="shared" si="3"/>
        <v>9</v>
      </c>
      <c r="E43">
        <v>8</v>
      </c>
      <c r="H43">
        <v>1</v>
      </c>
      <c r="I43">
        <f t="shared" si="4"/>
        <v>0.88888888888888884</v>
      </c>
      <c r="J43">
        <f t="shared" si="5"/>
        <v>1</v>
      </c>
      <c r="K43">
        <f t="shared" si="6"/>
        <v>0.88888888888888884</v>
      </c>
      <c r="L43">
        <f t="shared" si="7"/>
        <v>0.94117647058823528</v>
      </c>
      <c r="M43">
        <f t="shared" si="8"/>
        <v>5</v>
      </c>
      <c r="N43">
        <v>5</v>
      </c>
      <c r="R43">
        <f t="shared" si="9"/>
        <v>1</v>
      </c>
      <c r="S43">
        <f t="shared" si="10"/>
        <v>1</v>
      </c>
      <c r="T43">
        <f t="shared" si="11"/>
        <v>1</v>
      </c>
      <c r="U43">
        <f t="shared" si="12"/>
        <v>1</v>
      </c>
      <c r="V43">
        <f t="shared" si="13"/>
        <v>6</v>
      </c>
      <c r="W43">
        <v>6</v>
      </c>
      <c r="AA43">
        <f t="shared" si="14"/>
        <v>1</v>
      </c>
      <c r="AB43">
        <f t="shared" si="15"/>
        <v>1</v>
      </c>
      <c r="AC43">
        <f t="shared" si="16"/>
        <v>1</v>
      </c>
      <c r="AD43">
        <f t="shared" si="17"/>
        <v>1</v>
      </c>
    </row>
    <row r="44" spans="1:30" x14ac:dyDescent="0.2">
      <c r="A44" s="23"/>
      <c r="B44" t="s">
        <v>251</v>
      </c>
      <c r="C44">
        <f t="shared" si="2"/>
        <v>20</v>
      </c>
      <c r="D44">
        <f t="shared" si="3"/>
        <v>8</v>
      </c>
      <c r="E44">
        <v>8</v>
      </c>
      <c r="I44">
        <f t="shared" si="4"/>
        <v>1</v>
      </c>
      <c r="J44">
        <f t="shared" si="5"/>
        <v>1</v>
      </c>
      <c r="K44">
        <f t="shared" si="6"/>
        <v>1</v>
      </c>
      <c r="L44">
        <f t="shared" si="7"/>
        <v>1</v>
      </c>
      <c r="M44">
        <f t="shared" si="8"/>
        <v>6</v>
      </c>
      <c r="N44">
        <v>6</v>
      </c>
      <c r="R44">
        <f t="shared" si="9"/>
        <v>1</v>
      </c>
      <c r="S44">
        <f t="shared" si="10"/>
        <v>1</v>
      </c>
      <c r="T44">
        <f t="shared" si="11"/>
        <v>1</v>
      </c>
      <c r="U44">
        <f t="shared" si="12"/>
        <v>1</v>
      </c>
      <c r="V44">
        <f t="shared" si="13"/>
        <v>6</v>
      </c>
      <c r="W44">
        <v>6</v>
      </c>
      <c r="AA44">
        <f t="shared" si="14"/>
        <v>1</v>
      </c>
      <c r="AB44">
        <f t="shared" si="15"/>
        <v>1</v>
      </c>
      <c r="AC44">
        <f t="shared" si="16"/>
        <v>1</v>
      </c>
      <c r="AD44">
        <f t="shared" si="17"/>
        <v>1</v>
      </c>
    </row>
    <row r="45" spans="1:30" x14ac:dyDescent="0.2">
      <c r="A45" s="23"/>
      <c r="B45" t="s">
        <v>250</v>
      </c>
      <c r="C45">
        <f t="shared" si="2"/>
        <v>20</v>
      </c>
      <c r="D45">
        <f t="shared" si="3"/>
        <v>8</v>
      </c>
      <c r="E45">
        <v>8</v>
      </c>
      <c r="I45">
        <f t="shared" si="4"/>
        <v>1</v>
      </c>
      <c r="J45">
        <f t="shared" si="5"/>
        <v>1</v>
      </c>
      <c r="K45">
        <f t="shared" si="6"/>
        <v>1</v>
      </c>
      <c r="L45">
        <f t="shared" si="7"/>
        <v>1</v>
      </c>
      <c r="M45">
        <f t="shared" si="8"/>
        <v>6</v>
      </c>
      <c r="N45">
        <v>5</v>
      </c>
      <c r="P45">
        <v>1</v>
      </c>
      <c r="R45">
        <f t="shared" si="9"/>
        <v>0.83333333333333337</v>
      </c>
      <c r="S45">
        <f t="shared" si="10"/>
        <v>0.83333333333333337</v>
      </c>
      <c r="T45">
        <f t="shared" si="11"/>
        <v>1</v>
      </c>
      <c r="U45">
        <f t="shared" si="12"/>
        <v>0.90909090909090906</v>
      </c>
      <c r="V45">
        <f t="shared" si="13"/>
        <v>6</v>
      </c>
      <c r="W45">
        <v>6</v>
      </c>
      <c r="AA45">
        <f t="shared" si="14"/>
        <v>1</v>
      </c>
      <c r="AB45">
        <f t="shared" si="15"/>
        <v>1</v>
      </c>
      <c r="AC45">
        <f t="shared" si="16"/>
        <v>1</v>
      </c>
      <c r="AD45">
        <f t="shared" si="17"/>
        <v>1</v>
      </c>
    </row>
    <row r="46" spans="1:30" x14ac:dyDescent="0.2">
      <c r="A46" s="23"/>
      <c r="B46" t="s">
        <v>249</v>
      </c>
      <c r="C46">
        <f t="shared" si="2"/>
        <v>20</v>
      </c>
      <c r="D46">
        <f t="shared" si="3"/>
        <v>8</v>
      </c>
      <c r="E46">
        <v>8</v>
      </c>
      <c r="I46">
        <f t="shared" si="4"/>
        <v>1</v>
      </c>
      <c r="J46">
        <f t="shared" si="5"/>
        <v>1</v>
      </c>
      <c r="K46">
        <f t="shared" si="6"/>
        <v>1</v>
      </c>
      <c r="L46">
        <f t="shared" si="7"/>
        <v>1</v>
      </c>
      <c r="M46">
        <f t="shared" si="8"/>
        <v>6</v>
      </c>
      <c r="N46">
        <v>6</v>
      </c>
      <c r="R46">
        <f t="shared" si="9"/>
        <v>1</v>
      </c>
      <c r="S46">
        <f t="shared" si="10"/>
        <v>1</v>
      </c>
      <c r="T46">
        <f t="shared" si="11"/>
        <v>1</v>
      </c>
      <c r="U46">
        <f t="shared" si="12"/>
        <v>1</v>
      </c>
      <c r="V46">
        <f t="shared" si="13"/>
        <v>6</v>
      </c>
      <c r="W46">
        <v>6</v>
      </c>
      <c r="AA46">
        <f t="shared" si="14"/>
        <v>1</v>
      </c>
      <c r="AB46">
        <f t="shared" si="15"/>
        <v>1</v>
      </c>
      <c r="AC46">
        <f t="shared" si="16"/>
        <v>1</v>
      </c>
      <c r="AD46">
        <f t="shared" si="17"/>
        <v>1</v>
      </c>
    </row>
    <row r="47" spans="1:30" x14ac:dyDescent="0.2">
      <c r="A47" s="23"/>
      <c r="B47" t="s">
        <v>248</v>
      </c>
      <c r="C47">
        <f t="shared" si="2"/>
        <v>20</v>
      </c>
      <c r="D47">
        <f t="shared" si="3"/>
        <v>8</v>
      </c>
      <c r="E47">
        <v>8</v>
      </c>
      <c r="I47">
        <f t="shared" si="4"/>
        <v>1</v>
      </c>
      <c r="J47">
        <f t="shared" si="5"/>
        <v>1</v>
      </c>
      <c r="K47">
        <f t="shared" si="6"/>
        <v>1</v>
      </c>
      <c r="L47">
        <f t="shared" si="7"/>
        <v>1</v>
      </c>
      <c r="M47">
        <f t="shared" si="8"/>
        <v>6</v>
      </c>
      <c r="N47">
        <v>6</v>
      </c>
      <c r="R47">
        <f t="shared" si="9"/>
        <v>1</v>
      </c>
      <c r="S47">
        <f t="shared" si="10"/>
        <v>1</v>
      </c>
      <c r="T47">
        <f t="shared" si="11"/>
        <v>1</v>
      </c>
      <c r="U47">
        <f t="shared" si="12"/>
        <v>1</v>
      </c>
      <c r="V47">
        <f t="shared" si="13"/>
        <v>6</v>
      </c>
      <c r="W47">
        <v>6</v>
      </c>
      <c r="AA47">
        <f t="shared" si="14"/>
        <v>1</v>
      </c>
      <c r="AB47">
        <f t="shared" si="15"/>
        <v>1</v>
      </c>
      <c r="AC47">
        <f t="shared" si="16"/>
        <v>1</v>
      </c>
      <c r="AD47">
        <f t="shared" si="17"/>
        <v>1</v>
      </c>
    </row>
    <row r="48" spans="1:30" x14ac:dyDescent="0.2">
      <c r="A48" s="23"/>
      <c r="B48" t="s">
        <v>247</v>
      </c>
      <c r="C48">
        <f t="shared" si="2"/>
        <v>20</v>
      </c>
      <c r="D48">
        <f t="shared" si="3"/>
        <v>7</v>
      </c>
      <c r="E48">
        <v>7</v>
      </c>
      <c r="I48">
        <f t="shared" si="4"/>
        <v>1</v>
      </c>
      <c r="J48">
        <f t="shared" si="5"/>
        <v>1</v>
      </c>
      <c r="K48">
        <f t="shared" si="6"/>
        <v>1</v>
      </c>
      <c r="L48">
        <f t="shared" si="7"/>
        <v>1</v>
      </c>
      <c r="M48">
        <f t="shared" si="8"/>
        <v>8</v>
      </c>
      <c r="N48">
        <v>7</v>
      </c>
      <c r="P48">
        <v>1</v>
      </c>
      <c r="R48">
        <f t="shared" si="9"/>
        <v>0.875</v>
      </c>
      <c r="S48">
        <f t="shared" si="10"/>
        <v>0.875</v>
      </c>
      <c r="T48">
        <f t="shared" si="11"/>
        <v>1</v>
      </c>
      <c r="U48">
        <f t="shared" si="12"/>
        <v>0.93333333333333335</v>
      </c>
      <c r="V48">
        <f t="shared" si="13"/>
        <v>5</v>
      </c>
      <c r="W48">
        <v>5</v>
      </c>
      <c r="AA48">
        <f t="shared" si="14"/>
        <v>1</v>
      </c>
      <c r="AB48">
        <f t="shared" si="15"/>
        <v>1</v>
      </c>
      <c r="AC48">
        <f t="shared" si="16"/>
        <v>1</v>
      </c>
      <c r="AD48">
        <f t="shared" si="17"/>
        <v>1</v>
      </c>
    </row>
    <row r="49" spans="1:30" x14ac:dyDescent="0.2">
      <c r="A49" s="23"/>
      <c r="B49" t="s">
        <v>246</v>
      </c>
      <c r="C49">
        <f t="shared" si="2"/>
        <v>20</v>
      </c>
      <c r="D49">
        <f t="shared" si="3"/>
        <v>7</v>
      </c>
      <c r="E49">
        <v>6</v>
      </c>
      <c r="G49">
        <v>1</v>
      </c>
      <c r="I49">
        <f t="shared" si="4"/>
        <v>0.8571428571428571</v>
      </c>
      <c r="J49">
        <f t="shared" si="5"/>
        <v>0.8571428571428571</v>
      </c>
      <c r="K49">
        <f t="shared" si="6"/>
        <v>1</v>
      </c>
      <c r="L49">
        <f t="shared" si="7"/>
        <v>0.92307692307692302</v>
      </c>
      <c r="M49">
        <f t="shared" si="8"/>
        <v>7</v>
      </c>
      <c r="N49">
        <v>7</v>
      </c>
      <c r="R49">
        <f t="shared" si="9"/>
        <v>1</v>
      </c>
      <c r="S49">
        <f t="shared" si="10"/>
        <v>1</v>
      </c>
      <c r="T49">
        <f t="shared" si="11"/>
        <v>1</v>
      </c>
      <c r="U49">
        <f t="shared" si="12"/>
        <v>1</v>
      </c>
      <c r="V49">
        <f t="shared" si="13"/>
        <v>6</v>
      </c>
      <c r="W49">
        <v>6</v>
      </c>
      <c r="AA49">
        <f t="shared" si="14"/>
        <v>1</v>
      </c>
      <c r="AB49">
        <f t="shared" si="15"/>
        <v>1</v>
      </c>
      <c r="AC49">
        <f t="shared" si="16"/>
        <v>1</v>
      </c>
      <c r="AD49">
        <f t="shared" si="17"/>
        <v>1</v>
      </c>
    </row>
    <row r="50" spans="1:30" x14ac:dyDescent="0.2">
      <c r="A50" s="23"/>
      <c r="B50" t="s">
        <v>245</v>
      </c>
      <c r="C50">
        <f t="shared" si="2"/>
        <v>19</v>
      </c>
      <c r="D50">
        <f t="shared" si="3"/>
        <v>8</v>
      </c>
      <c r="E50">
        <v>8</v>
      </c>
      <c r="I50">
        <f t="shared" si="4"/>
        <v>1</v>
      </c>
      <c r="J50">
        <f t="shared" si="5"/>
        <v>1</v>
      </c>
      <c r="K50">
        <f t="shared" si="6"/>
        <v>1</v>
      </c>
      <c r="L50">
        <f t="shared" si="7"/>
        <v>1</v>
      </c>
      <c r="M50">
        <f t="shared" si="8"/>
        <v>7</v>
      </c>
      <c r="N50">
        <v>7</v>
      </c>
      <c r="R50">
        <f t="shared" si="9"/>
        <v>1</v>
      </c>
      <c r="S50">
        <f t="shared" si="10"/>
        <v>1</v>
      </c>
      <c r="T50">
        <f t="shared" si="11"/>
        <v>1</v>
      </c>
      <c r="U50">
        <f t="shared" si="12"/>
        <v>1</v>
      </c>
      <c r="V50">
        <f t="shared" si="13"/>
        <v>4</v>
      </c>
      <c r="W50">
        <v>4</v>
      </c>
      <c r="AA50">
        <f t="shared" si="14"/>
        <v>1</v>
      </c>
      <c r="AB50">
        <f t="shared" si="15"/>
        <v>1</v>
      </c>
      <c r="AC50">
        <f t="shared" si="16"/>
        <v>1</v>
      </c>
      <c r="AD50">
        <f t="shared" si="17"/>
        <v>1</v>
      </c>
    </row>
    <row r="51" spans="1:30" x14ac:dyDescent="0.2">
      <c r="A51" s="23"/>
      <c r="B51" t="s">
        <v>244</v>
      </c>
      <c r="C51">
        <f t="shared" si="2"/>
        <v>20</v>
      </c>
      <c r="D51">
        <f t="shared" si="3"/>
        <v>7</v>
      </c>
      <c r="E51">
        <v>7</v>
      </c>
      <c r="I51">
        <f t="shared" si="4"/>
        <v>1</v>
      </c>
      <c r="J51">
        <f t="shared" si="5"/>
        <v>1</v>
      </c>
      <c r="K51">
        <f t="shared" si="6"/>
        <v>1</v>
      </c>
      <c r="L51">
        <f t="shared" si="7"/>
        <v>1</v>
      </c>
      <c r="M51">
        <f t="shared" si="8"/>
        <v>7</v>
      </c>
      <c r="N51">
        <v>6</v>
      </c>
      <c r="P51">
        <v>1</v>
      </c>
      <c r="R51">
        <f t="shared" si="9"/>
        <v>0.8571428571428571</v>
      </c>
      <c r="S51">
        <f t="shared" si="10"/>
        <v>0.8571428571428571</v>
      </c>
      <c r="T51">
        <f t="shared" si="11"/>
        <v>1</v>
      </c>
      <c r="U51">
        <f t="shared" si="12"/>
        <v>0.92307692307692302</v>
      </c>
      <c r="V51">
        <f t="shared" si="13"/>
        <v>6</v>
      </c>
      <c r="W51">
        <v>6</v>
      </c>
      <c r="AA51">
        <f t="shared" si="14"/>
        <v>1</v>
      </c>
      <c r="AB51">
        <f t="shared" si="15"/>
        <v>1</v>
      </c>
      <c r="AC51">
        <f t="shared" si="16"/>
        <v>1</v>
      </c>
      <c r="AD51">
        <f t="shared" si="17"/>
        <v>1</v>
      </c>
    </row>
    <row r="52" spans="1:30" x14ac:dyDescent="0.2">
      <c r="A52" s="23"/>
      <c r="B52" t="s">
        <v>243</v>
      </c>
      <c r="C52">
        <f t="shared" si="2"/>
        <v>20</v>
      </c>
      <c r="D52">
        <f t="shared" si="3"/>
        <v>8</v>
      </c>
      <c r="E52">
        <v>7</v>
      </c>
      <c r="G52">
        <v>1</v>
      </c>
      <c r="I52">
        <f t="shared" si="4"/>
        <v>0.875</v>
      </c>
      <c r="J52">
        <f t="shared" si="5"/>
        <v>0.875</v>
      </c>
      <c r="K52">
        <f t="shared" si="6"/>
        <v>1</v>
      </c>
      <c r="L52">
        <f t="shared" si="7"/>
        <v>0.93333333333333335</v>
      </c>
      <c r="M52">
        <f>SUM(N52:Q52)</f>
        <v>6</v>
      </c>
      <c r="N52">
        <v>5</v>
      </c>
      <c r="P52">
        <v>1</v>
      </c>
      <c r="R52">
        <f t="shared" si="9"/>
        <v>0.83333333333333337</v>
      </c>
      <c r="S52">
        <f t="shared" si="10"/>
        <v>0.83333333333333337</v>
      </c>
      <c r="T52">
        <f t="shared" si="11"/>
        <v>1</v>
      </c>
      <c r="U52">
        <f t="shared" si="12"/>
        <v>0.90909090909090906</v>
      </c>
      <c r="V52">
        <f t="shared" si="13"/>
        <v>6</v>
      </c>
      <c r="W52">
        <v>6</v>
      </c>
      <c r="AA52">
        <f t="shared" si="14"/>
        <v>1</v>
      </c>
      <c r="AB52">
        <f t="shared" si="15"/>
        <v>1</v>
      </c>
      <c r="AC52">
        <f t="shared" si="16"/>
        <v>1</v>
      </c>
      <c r="AD52">
        <f t="shared" si="17"/>
        <v>1</v>
      </c>
    </row>
    <row r="53" spans="1:30" x14ac:dyDescent="0.2">
      <c r="A53" s="23"/>
      <c r="B53" t="s">
        <v>242</v>
      </c>
      <c r="C53">
        <f t="shared" si="2"/>
        <v>20</v>
      </c>
      <c r="D53">
        <f t="shared" si="3"/>
        <v>8</v>
      </c>
      <c r="E53">
        <v>8</v>
      </c>
      <c r="I53">
        <f t="shared" si="4"/>
        <v>1</v>
      </c>
      <c r="J53">
        <f t="shared" si="5"/>
        <v>1</v>
      </c>
      <c r="K53">
        <f t="shared" si="6"/>
        <v>1</v>
      </c>
      <c r="L53">
        <f t="shared" si="7"/>
        <v>1</v>
      </c>
      <c r="M53">
        <f t="shared" si="8"/>
        <v>5</v>
      </c>
      <c r="N53">
        <v>5</v>
      </c>
      <c r="R53">
        <f t="shared" si="9"/>
        <v>1</v>
      </c>
      <c r="S53">
        <f t="shared" si="10"/>
        <v>1</v>
      </c>
      <c r="T53">
        <f t="shared" si="11"/>
        <v>1</v>
      </c>
      <c r="U53">
        <f t="shared" si="12"/>
        <v>1</v>
      </c>
      <c r="V53">
        <f t="shared" si="13"/>
        <v>7</v>
      </c>
      <c r="W53">
        <v>7</v>
      </c>
      <c r="AA53">
        <f t="shared" si="14"/>
        <v>1</v>
      </c>
      <c r="AB53">
        <f t="shared" si="15"/>
        <v>1</v>
      </c>
      <c r="AC53">
        <f t="shared" si="16"/>
        <v>1</v>
      </c>
      <c r="AD53">
        <f t="shared" si="17"/>
        <v>1</v>
      </c>
    </row>
    <row r="54" spans="1:30" x14ac:dyDescent="0.2">
      <c r="A54" s="23"/>
      <c r="B54" t="s">
        <v>241</v>
      </c>
      <c r="C54">
        <f t="shared" si="2"/>
        <v>20</v>
      </c>
      <c r="D54">
        <f t="shared" si="3"/>
        <v>9</v>
      </c>
      <c r="E54">
        <v>9</v>
      </c>
      <c r="I54">
        <f t="shared" si="4"/>
        <v>1</v>
      </c>
      <c r="J54">
        <f t="shared" si="5"/>
        <v>1</v>
      </c>
      <c r="K54">
        <f t="shared" si="6"/>
        <v>1</v>
      </c>
      <c r="L54">
        <f t="shared" si="7"/>
        <v>1</v>
      </c>
      <c r="M54">
        <f t="shared" si="8"/>
        <v>6</v>
      </c>
      <c r="N54">
        <v>6</v>
      </c>
      <c r="R54">
        <f t="shared" si="9"/>
        <v>1</v>
      </c>
      <c r="S54">
        <f t="shared" si="10"/>
        <v>1</v>
      </c>
      <c r="T54">
        <f t="shared" si="11"/>
        <v>1</v>
      </c>
      <c r="U54">
        <f t="shared" si="12"/>
        <v>1</v>
      </c>
      <c r="V54">
        <f t="shared" si="13"/>
        <v>5</v>
      </c>
      <c r="W54">
        <v>5</v>
      </c>
      <c r="AA54">
        <f t="shared" si="14"/>
        <v>1</v>
      </c>
      <c r="AB54">
        <f t="shared" si="15"/>
        <v>1</v>
      </c>
      <c r="AC54">
        <f t="shared" si="16"/>
        <v>1</v>
      </c>
      <c r="AD54">
        <f t="shared" si="17"/>
        <v>1</v>
      </c>
    </row>
    <row r="55" spans="1:30" x14ac:dyDescent="0.2">
      <c r="A55" s="23"/>
      <c r="B55" t="s">
        <v>240</v>
      </c>
      <c r="C55">
        <f t="shared" si="2"/>
        <v>20</v>
      </c>
      <c r="D55">
        <f t="shared" si="3"/>
        <v>9</v>
      </c>
      <c r="E55">
        <v>9</v>
      </c>
      <c r="I55">
        <f t="shared" si="4"/>
        <v>1</v>
      </c>
      <c r="J55">
        <f t="shared" si="5"/>
        <v>1</v>
      </c>
      <c r="K55">
        <f t="shared" si="6"/>
        <v>1</v>
      </c>
      <c r="L55">
        <f t="shared" si="7"/>
        <v>1</v>
      </c>
      <c r="M55">
        <f t="shared" si="8"/>
        <v>7</v>
      </c>
      <c r="N55">
        <v>7</v>
      </c>
      <c r="R55">
        <f t="shared" si="9"/>
        <v>1</v>
      </c>
      <c r="S55">
        <f t="shared" si="10"/>
        <v>1</v>
      </c>
      <c r="T55">
        <f t="shared" si="11"/>
        <v>1</v>
      </c>
      <c r="U55">
        <f t="shared" si="12"/>
        <v>1</v>
      </c>
      <c r="V55">
        <f t="shared" si="13"/>
        <v>4</v>
      </c>
      <c r="W55">
        <v>4</v>
      </c>
      <c r="AA55">
        <f t="shared" si="14"/>
        <v>1</v>
      </c>
      <c r="AB55">
        <f t="shared" si="15"/>
        <v>1</v>
      </c>
      <c r="AC55">
        <f t="shared" si="16"/>
        <v>1</v>
      </c>
      <c r="AD55">
        <f t="shared" si="17"/>
        <v>1</v>
      </c>
    </row>
    <row r="56" spans="1:30" x14ac:dyDescent="0.2">
      <c r="A56" s="23"/>
      <c r="B56" t="s">
        <v>239</v>
      </c>
      <c r="C56">
        <f t="shared" si="2"/>
        <v>20</v>
      </c>
      <c r="D56">
        <f t="shared" si="3"/>
        <v>8</v>
      </c>
      <c r="E56">
        <v>8</v>
      </c>
      <c r="I56">
        <f t="shared" si="4"/>
        <v>1</v>
      </c>
      <c r="J56">
        <f t="shared" si="5"/>
        <v>1</v>
      </c>
      <c r="K56">
        <f t="shared" si="6"/>
        <v>1</v>
      </c>
      <c r="L56">
        <f t="shared" si="7"/>
        <v>1</v>
      </c>
      <c r="M56">
        <f t="shared" si="8"/>
        <v>5</v>
      </c>
      <c r="N56">
        <v>5</v>
      </c>
      <c r="R56">
        <f t="shared" si="9"/>
        <v>1</v>
      </c>
      <c r="S56">
        <f t="shared" si="10"/>
        <v>1</v>
      </c>
      <c r="T56">
        <f t="shared" si="11"/>
        <v>1</v>
      </c>
      <c r="U56">
        <f t="shared" si="12"/>
        <v>1</v>
      </c>
      <c r="V56">
        <f t="shared" si="13"/>
        <v>7</v>
      </c>
      <c r="W56">
        <v>6</v>
      </c>
      <c r="Y56">
        <v>1</v>
      </c>
      <c r="AA56">
        <f t="shared" si="14"/>
        <v>0.8571428571428571</v>
      </c>
      <c r="AB56">
        <f t="shared" si="15"/>
        <v>0.8571428571428571</v>
      </c>
      <c r="AC56">
        <f t="shared" si="16"/>
        <v>1</v>
      </c>
      <c r="AD56">
        <f t="shared" si="17"/>
        <v>0.92307692307692302</v>
      </c>
    </row>
    <row r="57" spans="1:30" x14ac:dyDescent="0.2">
      <c r="A57" s="23"/>
      <c r="B57" t="s">
        <v>238</v>
      </c>
      <c r="C57">
        <f t="shared" si="2"/>
        <v>20</v>
      </c>
      <c r="D57">
        <f t="shared" si="3"/>
        <v>9</v>
      </c>
      <c r="E57">
        <v>9</v>
      </c>
      <c r="I57">
        <f t="shared" si="4"/>
        <v>1</v>
      </c>
      <c r="J57">
        <f t="shared" si="5"/>
        <v>1</v>
      </c>
      <c r="K57">
        <f t="shared" si="6"/>
        <v>1</v>
      </c>
      <c r="L57">
        <f t="shared" si="7"/>
        <v>1</v>
      </c>
      <c r="M57">
        <f t="shared" si="8"/>
        <v>6</v>
      </c>
      <c r="N57">
        <v>6</v>
      </c>
      <c r="R57">
        <f t="shared" si="9"/>
        <v>1</v>
      </c>
      <c r="S57">
        <f t="shared" si="10"/>
        <v>1</v>
      </c>
      <c r="T57">
        <f t="shared" si="11"/>
        <v>1</v>
      </c>
      <c r="U57">
        <f t="shared" si="12"/>
        <v>1</v>
      </c>
      <c r="V57">
        <f t="shared" si="13"/>
        <v>5</v>
      </c>
      <c r="W57">
        <v>5</v>
      </c>
      <c r="AA57">
        <f t="shared" si="14"/>
        <v>1</v>
      </c>
      <c r="AB57">
        <f t="shared" si="15"/>
        <v>1</v>
      </c>
      <c r="AC57">
        <f t="shared" si="16"/>
        <v>1</v>
      </c>
      <c r="AD57">
        <f t="shared" si="17"/>
        <v>1</v>
      </c>
    </row>
    <row r="58" spans="1:30" x14ac:dyDescent="0.2">
      <c r="A58" s="23"/>
      <c r="B58" t="s">
        <v>237</v>
      </c>
      <c r="C58">
        <f t="shared" si="2"/>
        <v>20</v>
      </c>
      <c r="D58">
        <f t="shared" si="3"/>
        <v>9</v>
      </c>
      <c r="E58">
        <v>8</v>
      </c>
      <c r="F58">
        <v>1</v>
      </c>
      <c r="I58">
        <f t="shared" si="4"/>
        <v>1</v>
      </c>
      <c r="J58">
        <f t="shared" si="5"/>
        <v>1</v>
      </c>
      <c r="K58">
        <f t="shared" si="6"/>
        <v>1</v>
      </c>
      <c r="L58">
        <f t="shared" si="7"/>
        <v>1</v>
      </c>
      <c r="M58">
        <f t="shared" si="8"/>
        <v>5</v>
      </c>
      <c r="N58">
        <v>3</v>
      </c>
      <c r="P58">
        <v>2</v>
      </c>
      <c r="R58">
        <f t="shared" si="9"/>
        <v>0.6</v>
      </c>
      <c r="S58">
        <f t="shared" si="10"/>
        <v>0.6</v>
      </c>
      <c r="T58">
        <f t="shared" si="11"/>
        <v>1</v>
      </c>
      <c r="U58">
        <f t="shared" si="12"/>
        <v>0.74999999999999989</v>
      </c>
      <c r="V58">
        <f t="shared" si="13"/>
        <v>6</v>
      </c>
      <c r="W58">
        <v>6</v>
      </c>
      <c r="AA58">
        <f t="shared" si="14"/>
        <v>1</v>
      </c>
      <c r="AB58">
        <f t="shared" si="15"/>
        <v>1</v>
      </c>
      <c r="AC58">
        <f t="shared" si="16"/>
        <v>1</v>
      </c>
      <c r="AD58">
        <f t="shared" si="17"/>
        <v>1</v>
      </c>
    </row>
    <row r="59" spans="1:30" x14ac:dyDescent="0.2">
      <c r="A59" s="23"/>
      <c r="B59" t="s">
        <v>236</v>
      </c>
      <c r="C59">
        <f t="shared" si="2"/>
        <v>20</v>
      </c>
      <c r="D59">
        <f t="shared" si="3"/>
        <v>7</v>
      </c>
      <c r="E59">
        <v>7</v>
      </c>
      <c r="I59">
        <f t="shared" si="4"/>
        <v>1</v>
      </c>
      <c r="J59">
        <f t="shared" si="5"/>
        <v>1</v>
      </c>
      <c r="K59">
        <f t="shared" si="6"/>
        <v>1</v>
      </c>
      <c r="L59">
        <f t="shared" si="7"/>
        <v>1</v>
      </c>
      <c r="M59">
        <f t="shared" si="8"/>
        <v>6</v>
      </c>
      <c r="N59">
        <v>6</v>
      </c>
      <c r="R59">
        <f t="shared" si="9"/>
        <v>1</v>
      </c>
      <c r="S59">
        <f t="shared" si="10"/>
        <v>1</v>
      </c>
      <c r="T59">
        <f t="shared" si="11"/>
        <v>1</v>
      </c>
      <c r="U59">
        <f t="shared" si="12"/>
        <v>1</v>
      </c>
      <c r="V59">
        <f t="shared" si="13"/>
        <v>7</v>
      </c>
      <c r="W59">
        <v>5</v>
      </c>
      <c r="Y59">
        <v>2</v>
      </c>
      <c r="AA59">
        <f t="shared" si="14"/>
        <v>0.7142857142857143</v>
      </c>
      <c r="AB59">
        <f t="shared" si="15"/>
        <v>0.7142857142857143</v>
      </c>
      <c r="AC59">
        <f t="shared" si="16"/>
        <v>1</v>
      </c>
      <c r="AD59">
        <f t="shared" si="17"/>
        <v>0.83333333333333326</v>
      </c>
    </row>
    <row r="60" spans="1:30" x14ac:dyDescent="0.2">
      <c r="A60" s="23"/>
      <c r="B60" t="s">
        <v>235</v>
      </c>
      <c r="C60">
        <f t="shared" si="2"/>
        <v>20</v>
      </c>
      <c r="D60">
        <f t="shared" si="3"/>
        <v>7</v>
      </c>
      <c r="E60">
        <v>7</v>
      </c>
      <c r="I60">
        <f t="shared" si="4"/>
        <v>1</v>
      </c>
      <c r="J60">
        <f t="shared" si="5"/>
        <v>1</v>
      </c>
      <c r="K60">
        <f t="shared" si="6"/>
        <v>1</v>
      </c>
      <c r="L60">
        <f t="shared" si="7"/>
        <v>1</v>
      </c>
      <c r="M60">
        <f t="shared" si="8"/>
        <v>6</v>
      </c>
      <c r="N60">
        <v>6</v>
      </c>
      <c r="R60">
        <f t="shared" si="9"/>
        <v>1</v>
      </c>
      <c r="S60">
        <f t="shared" si="10"/>
        <v>1</v>
      </c>
      <c r="T60">
        <f t="shared" si="11"/>
        <v>1</v>
      </c>
      <c r="U60">
        <f t="shared" si="12"/>
        <v>1</v>
      </c>
      <c r="V60">
        <f t="shared" si="13"/>
        <v>7</v>
      </c>
      <c r="W60">
        <v>7</v>
      </c>
      <c r="AA60">
        <f t="shared" si="14"/>
        <v>1</v>
      </c>
      <c r="AB60">
        <f t="shared" si="15"/>
        <v>1</v>
      </c>
      <c r="AC60">
        <f t="shared" si="16"/>
        <v>1</v>
      </c>
      <c r="AD60">
        <f t="shared" si="17"/>
        <v>1</v>
      </c>
    </row>
    <row r="61" spans="1:30" x14ac:dyDescent="0.2">
      <c r="A61" s="23"/>
      <c r="B61" t="s">
        <v>234</v>
      </c>
      <c r="C61">
        <f t="shared" si="2"/>
        <v>20</v>
      </c>
      <c r="D61">
        <f t="shared" si="3"/>
        <v>8</v>
      </c>
      <c r="E61">
        <v>8</v>
      </c>
      <c r="I61">
        <f t="shared" si="4"/>
        <v>1</v>
      </c>
      <c r="J61">
        <f t="shared" si="5"/>
        <v>1</v>
      </c>
      <c r="K61">
        <f t="shared" si="6"/>
        <v>1</v>
      </c>
      <c r="L61">
        <f t="shared" si="7"/>
        <v>1</v>
      </c>
      <c r="M61">
        <f t="shared" si="8"/>
        <v>6</v>
      </c>
      <c r="N61">
        <v>6</v>
      </c>
      <c r="R61">
        <f t="shared" si="9"/>
        <v>1</v>
      </c>
      <c r="S61">
        <f t="shared" si="10"/>
        <v>1</v>
      </c>
      <c r="T61">
        <f t="shared" si="11"/>
        <v>1</v>
      </c>
      <c r="U61">
        <f t="shared" si="12"/>
        <v>1</v>
      </c>
      <c r="V61">
        <f t="shared" si="13"/>
        <v>6</v>
      </c>
      <c r="W61">
        <v>6</v>
      </c>
      <c r="AA61">
        <f t="shared" si="14"/>
        <v>1</v>
      </c>
      <c r="AB61">
        <f t="shared" si="15"/>
        <v>1</v>
      </c>
      <c r="AC61">
        <f t="shared" si="16"/>
        <v>1</v>
      </c>
      <c r="AD61">
        <f t="shared" si="17"/>
        <v>1</v>
      </c>
    </row>
    <row r="62" spans="1:30" x14ac:dyDescent="0.2">
      <c r="A62" s="23"/>
      <c r="B62" t="s">
        <v>233</v>
      </c>
      <c r="C62">
        <f t="shared" si="2"/>
        <v>15</v>
      </c>
      <c r="D62">
        <f t="shared" si="3"/>
        <v>7</v>
      </c>
      <c r="E62">
        <v>7</v>
      </c>
      <c r="I62">
        <f t="shared" si="4"/>
        <v>1</v>
      </c>
      <c r="J62">
        <f t="shared" si="5"/>
        <v>1</v>
      </c>
      <c r="K62">
        <f t="shared" si="6"/>
        <v>1</v>
      </c>
      <c r="L62">
        <f t="shared" si="7"/>
        <v>1</v>
      </c>
      <c r="M62">
        <f t="shared" si="8"/>
        <v>4</v>
      </c>
      <c r="N62">
        <v>4</v>
      </c>
      <c r="R62">
        <f t="shared" si="9"/>
        <v>1</v>
      </c>
      <c r="S62">
        <f t="shared" si="10"/>
        <v>1</v>
      </c>
      <c r="T62">
        <f t="shared" si="11"/>
        <v>1</v>
      </c>
      <c r="U62">
        <f t="shared" si="12"/>
        <v>1</v>
      </c>
      <c r="V62">
        <f t="shared" si="13"/>
        <v>4</v>
      </c>
      <c r="W62">
        <v>3</v>
      </c>
      <c r="Y62">
        <v>1</v>
      </c>
      <c r="AA62">
        <f t="shared" si="14"/>
        <v>0.75</v>
      </c>
      <c r="AB62">
        <f t="shared" si="15"/>
        <v>0.75</v>
      </c>
      <c r="AC62">
        <f t="shared" si="16"/>
        <v>1</v>
      </c>
      <c r="AD62">
        <f t="shared" si="17"/>
        <v>0.8571428571428571</v>
      </c>
    </row>
    <row r="63" spans="1:30" x14ac:dyDescent="0.2">
      <c r="A63" s="23"/>
      <c r="B63" t="s">
        <v>232</v>
      </c>
      <c r="C63">
        <f t="shared" si="2"/>
        <v>20</v>
      </c>
      <c r="D63">
        <f t="shared" si="3"/>
        <v>9</v>
      </c>
      <c r="E63">
        <v>9</v>
      </c>
      <c r="I63">
        <f t="shared" si="4"/>
        <v>1</v>
      </c>
      <c r="J63">
        <f t="shared" si="5"/>
        <v>1</v>
      </c>
      <c r="K63">
        <f t="shared" si="6"/>
        <v>1</v>
      </c>
      <c r="L63">
        <f t="shared" si="7"/>
        <v>1</v>
      </c>
      <c r="M63">
        <f t="shared" si="8"/>
        <v>4</v>
      </c>
      <c r="N63">
        <v>3</v>
      </c>
      <c r="P63">
        <v>1</v>
      </c>
      <c r="R63">
        <f t="shared" si="9"/>
        <v>0.75</v>
      </c>
      <c r="S63">
        <f t="shared" si="10"/>
        <v>0.75</v>
      </c>
      <c r="T63">
        <f t="shared" si="11"/>
        <v>1</v>
      </c>
      <c r="U63">
        <f t="shared" si="12"/>
        <v>0.8571428571428571</v>
      </c>
      <c r="V63">
        <f t="shared" si="13"/>
        <v>7</v>
      </c>
      <c r="W63">
        <v>7</v>
      </c>
      <c r="AA63">
        <f t="shared" si="14"/>
        <v>1</v>
      </c>
      <c r="AB63">
        <f t="shared" si="15"/>
        <v>1</v>
      </c>
      <c r="AC63">
        <f t="shared" si="16"/>
        <v>1</v>
      </c>
      <c r="AD63">
        <f t="shared" si="17"/>
        <v>1</v>
      </c>
    </row>
    <row r="64" spans="1:30" x14ac:dyDescent="0.2">
      <c r="A64" s="23"/>
      <c r="B64" t="s">
        <v>231</v>
      </c>
      <c r="C64">
        <f t="shared" si="2"/>
        <v>20</v>
      </c>
      <c r="D64">
        <f t="shared" si="3"/>
        <v>8</v>
      </c>
      <c r="E64">
        <v>8</v>
      </c>
      <c r="I64">
        <f t="shared" si="4"/>
        <v>1</v>
      </c>
      <c r="J64">
        <f t="shared" si="5"/>
        <v>1</v>
      </c>
      <c r="K64">
        <f t="shared" si="6"/>
        <v>1</v>
      </c>
      <c r="L64">
        <f t="shared" si="7"/>
        <v>1</v>
      </c>
      <c r="M64">
        <f t="shared" si="8"/>
        <v>6</v>
      </c>
      <c r="N64">
        <v>6</v>
      </c>
      <c r="R64">
        <f t="shared" si="9"/>
        <v>1</v>
      </c>
      <c r="S64">
        <f t="shared" si="10"/>
        <v>1</v>
      </c>
      <c r="T64">
        <f t="shared" si="11"/>
        <v>1</v>
      </c>
      <c r="U64">
        <f t="shared" si="12"/>
        <v>1</v>
      </c>
      <c r="V64">
        <f t="shared" si="13"/>
        <v>6</v>
      </c>
      <c r="W64">
        <v>5</v>
      </c>
      <c r="Y64">
        <v>1</v>
      </c>
      <c r="AA64">
        <f t="shared" si="14"/>
        <v>0.83333333333333337</v>
      </c>
      <c r="AB64">
        <f t="shared" si="15"/>
        <v>0.83333333333333337</v>
      </c>
      <c r="AC64">
        <f t="shared" si="16"/>
        <v>1</v>
      </c>
      <c r="AD64">
        <f t="shared" si="17"/>
        <v>0.90909090909090906</v>
      </c>
    </row>
    <row r="65" spans="1:30" x14ac:dyDescent="0.2">
      <c r="A65" s="23"/>
      <c r="B65" t="s">
        <v>230</v>
      </c>
      <c r="C65">
        <f t="shared" si="2"/>
        <v>20</v>
      </c>
      <c r="D65">
        <f t="shared" si="3"/>
        <v>8</v>
      </c>
      <c r="E65">
        <v>2</v>
      </c>
      <c r="H65">
        <v>6</v>
      </c>
      <c r="I65">
        <f t="shared" si="4"/>
        <v>0.25</v>
      </c>
      <c r="J65">
        <f t="shared" si="5"/>
        <v>1</v>
      </c>
      <c r="K65">
        <f t="shared" si="6"/>
        <v>0.25</v>
      </c>
      <c r="L65">
        <f t="shared" si="7"/>
        <v>0.4</v>
      </c>
      <c r="M65">
        <f t="shared" si="8"/>
        <v>6</v>
      </c>
      <c r="Q65">
        <v>6</v>
      </c>
      <c r="R65">
        <f t="shared" si="9"/>
        <v>0</v>
      </c>
      <c r="S65" t="e">
        <f t="shared" si="10"/>
        <v>#DIV/0!</v>
      </c>
      <c r="T65">
        <f t="shared" si="11"/>
        <v>0</v>
      </c>
      <c r="U65" t="e">
        <f t="shared" si="12"/>
        <v>#DIV/0!</v>
      </c>
      <c r="V65">
        <f t="shared" si="13"/>
        <v>6</v>
      </c>
      <c r="W65">
        <v>2</v>
      </c>
      <c r="Z65">
        <v>4</v>
      </c>
      <c r="AA65">
        <f t="shared" si="14"/>
        <v>0.33333333333333331</v>
      </c>
      <c r="AB65">
        <f t="shared" si="15"/>
        <v>1</v>
      </c>
      <c r="AC65">
        <f t="shared" si="16"/>
        <v>0.33333333333333331</v>
      </c>
      <c r="AD65">
        <f t="shared" si="17"/>
        <v>0.5</v>
      </c>
    </row>
    <row r="66" spans="1:30" x14ac:dyDescent="0.2">
      <c r="A66" s="23"/>
      <c r="B66" t="s">
        <v>229</v>
      </c>
      <c r="C66">
        <f t="shared" si="2"/>
        <v>20</v>
      </c>
      <c r="D66">
        <f t="shared" si="3"/>
        <v>8</v>
      </c>
      <c r="E66">
        <v>8</v>
      </c>
      <c r="I66">
        <f t="shared" si="4"/>
        <v>1</v>
      </c>
      <c r="J66">
        <f t="shared" si="5"/>
        <v>1</v>
      </c>
      <c r="K66">
        <f t="shared" si="6"/>
        <v>1</v>
      </c>
      <c r="L66">
        <f t="shared" si="7"/>
        <v>1</v>
      </c>
      <c r="M66">
        <f t="shared" si="8"/>
        <v>7</v>
      </c>
      <c r="N66">
        <v>7</v>
      </c>
      <c r="R66">
        <f t="shared" si="9"/>
        <v>1</v>
      </c>
      <c r="S66">
        <f t="shared" si="10"/>
        <v>1</v>
      </c>
      <c r="T66">
        <f t="shared" si="11"/>
        <v>1</v>
      </c>
      <c r="U66">
        <f t="shared" si="12"/>
        <v>1</v>
      </c>
      <c r="V66">
        <f t="shared" si="13"/>
        <v>5</v>
      </c>
      <c r="W66">
        <v>5</v>
      </c>
      <c r="AA66">
        <f t="shared" si="14"/>
        <v>1</v>
      </c>
      <c r="AB66">
        <f t="shared" si="15"/>
        <v>1</v>
      </c>
      <c r="AC66">
        <f t="shared" si="16"/>
        <v>1</v>
      </c>
      <c r="AD66">
        <f t="shared" si="17"/>
        <v>1</v>
      </c>
    </row>
    <row r="67" spans="1:30" x14ac:dyDescent="0.2">
      <c r="A67" s="23"/>
      <c r="B67" t="s">
        <v>228</v>
      </c>
      <c r="C67">
        <f t="shared" si="2"/>
        <v>20</v>
      </c>
      <c r="D67">
        <f t="shared" si="3"/>
        <v>9</v>
      </c>
      <c r="E67">
        <v>9</v>
      </c>
      <c r="I67">
        <f t="shared" si="4"/>
        <v>1</v>
      </c>
      <c r="J67">
        <f t="shared" si="5"/>
        <v>1</v>
      </c>
      <c r="K67">
        <f t="shared" si="6"/>
        <v>1</v>
      </c>
      <c r="L67">
        <f t="shared" si="7"/>
        <v>1</v>
      </c>
      <c r="M67">
        <f t="shared" si="8"/>
        <v>7</v>
      </c>
      <c r="N67">
        <v>6</v>
      </c>
      <c r="P67">
        <v>1</v>
      </c>
      <c r="R67">
        <f t="shared" si="9"/>
        <v>0.8571428571428571</v>
      </c>
      <c r="S67">
        <f t="shared" si="10"/>
        <v>0.8571428571428571</v>
      </c>
      <c r="T67">
        <f t="shared" si="11"/>
        <v>1</v>
      </c>
      <c r="U67">
        <f t="shared" si="12"/>
        <v>0.92307692307692302</v>
      </c>
      <c r="V67">
        <f t="shared" si="13"/>
        <v>4</v>
      </c>
      <c r="W67">
        <v>4</v>
      </c>
      <c r="AA67">
        <f t="shared" si="14"/>
        <v>1</v>
      </c>
      <c r="AB67">
        <f t="shared" si="15"/>
        <v>1</v>
      </c>
      <c r="AC67">
        <f t="shared" si="16"/>
        <v>1</v>
      </c>
      <c r="AD67">
        <f t="shared" si="17"/>
        <v>1</v>
      </c>
    </row>
    <row r="68" spans="1:30" x14ac:dyDescent="0.2">
      <c r="A68" s="23"/>
      <c r="B68" t="s">
        <v>227</v>
      </c>
      <c r="C68">
        <f t="shared" ref="C68:C131" si="18">D68+M68+V68</f>
        <v>20</v>
      </c>
      <c r="D68">
        <f t="shared" ref="D68:D131" si="19">SUM(E68:H68)</f>
        <v>8</v>
      </c>
      <c r="E68">
        <v>8</v>
      </c>
      <c r="I68">
        <f t="shared" ref="I68:I131" si="20">(E68+F68)/(E68+F68+G68+H68)</f>
        <v>1</v>
      </c>
      <c r="J68">
        <f t="shared" ref="J68:J131" si="21">E68/(E68+G68)</f>
        <v>1</v>
      </c>
      <c r="K68">
        <f t="shared" ref="K68:K131" si="22">E68/(E68+H68)</f>
        <v>1</v>
      </c>
      <c r="L68">
        <f t="shared" ref="L68:L131" si="23">(2*J68*K68)/(J68+K68)</f>
        <v>1</v>
      </c>
      <c r="M68">
        <f t="shared" ref="M68:M131" si="24">SUM(N68:Q68)</f>
        <v>7</v>
      </c>
      <c r="N68">
        <v>6</v>
      </c>
      <c r="P68">
        <v>1</v>
      </c>
      <c r="R68">
        <f t="shared" ref="R68:R131" si="25">(N68+O68)/(N68+O68+P68+Q68)</f>
        <v>0.8571428571428571</v>
      </c>
      <c r="S68">
        <f t="shared" ref="S68:S131" si="26">N68/(N68+P68)</f>
        <v>0.8571428571428571</v>
      </c>
      <c r="T68">
        <f t="shared" ref="T68:T131" si="27">N68/(N68+Q68)</f>
        <v>1</v>
      </c>
      <c r="U68">
        <f t="shared" ref="U68:U131" si="28">(2*S68*T68)/(S68+T68)</f>
        <v>0.92307692307692302</v>
      </c>
      <c r="V68">
        <f t="shared" ref="V68:V131" si="29">SUM(W68:Z68)</f>
        <v>5</v>
      </c>
      <c r="W68">
        <v>5</v>
      </c>
      <c r="AA68">
        <f t="shared" ref="AA68:AA131" si="30">(W68+X68)/(W68+X68+Y68+Z68)</f>
        <v>1</v>
      </c>
      <c r="AB68">
        <f t="shared" ref="AB68:AB131" si="31">W68/(W68+Y68)</f>
        <v>1</v>
      </c>
      <c r="AC68">
        <f t="shared" ref="AC68:AC131" si="32">W68/(W68+Z68)</f>
        <v>1</v>
      </c>
      <c r="AD68">
        <f t="shared" ref="AD68:AD131" si="33">(2*AB68*AC68)/(AB68+AC68)</f>
        <v>1</v>
      </c>
    </row>
    <row r="69" spans="1:30" x14ac:dyDescent="0.2">
      <c r="A69" s="23" t="s">
        <v>226</v>
      </c>
      <c r="B69" t="s">
        <v>225</v>
      </c>
      <c r="C69">
        <f t="shared" si="18"/>
        <v>20</v>
      </c>
      <c r="D69">
        <f t="shared" si="19"/>
        <v>7</v>
      </c>
      <c r="E69">
        <v>7</v>
      </c>
      <c r="I69">
        <f t="shared" si="20"/>
        <v>1</v>
      </c>
      <c r="J69">
        <f t="shared" si="21"/>
        <v>1</v>
      </c>
      <c r="K69">
        <f t="shared" si="22"/>
        <v>1</v>
      </c>
      <c r="L69">
        <f t="shared" si="23"/>
        <v>1</v>
      </c>
      <c r="M69">
        <f t="shared" si="24"/>
        <v>6</v>
      </c>
      <c r="N69">
        <v>5</v>
      </c>
      <c r="P69">
        <v>1</v>
      </c>
      <c r="R69">
        <f t="shared" si="25"/>
        <v>0.83333333333333337</v>
      </c>
      <c r="S69">
        <f t="shared" si="26"/>
        <v>0.83333333333333337</v>
      </c>
      <c r="T69">
        <f t="shared" si="27"/>
        <v>1</v>
      </c>
      <c r="U69">
        <f t="shared" si="28"/>
        <v>0.90909090909090906</v>
      </c>
      <c r="V69">
        <f t="shared" si="29"/>
        <v>7</v>
      </c>
      <c r="W69">
        <v>6</v>
      </c>
      <c r="Y69">
        <v>1</v>
      </c>
      <c r="AA69">
        <f t="shared" si="30"/>
        <v>0.8571428571428571</v>
      </c>
      <c r="AB69">
        <f t="shared" si="31"/>
        <v>0.8571428571428571</v>
      </c>
      <c r="AC69">
        <f t="shared" si="32"/>
        <v>1</v>
      </c>
      <c r="AD69">
        <f t="shared" si="33"/>
        <v>0.92307692307692302</v>
      </c>
    </row>
    <row r="70" spans="1:30" x14ac:dyDescent="0.2">
      <c r="A70" s="23"/>
      <c r="B70" t="s">
        <v>224</v>
      </c>
      <c r="C70">
        <f t="shared" si="18"/>
        <v>20</v>
      </c>
      <c r="D70">
        <f t="shared" si="19"/>
        <v>5</v>
      </c>
      <c r="E70">
        <v>5</v>
      </c>
      <c r="I70">
        <f t="shared" si="20"/>
        <v>1</v>
      </c>
      <c r="J70">
        <f t="shared" si="21"/>
        <v>1</v>
      </c>
      <c r="K70">
        <f t="shared" si="22"/>
        <v>1</v>
      </c>
      <c r="L70">
        <f t="shared" si="23"/>
        <v>1</v>
      </c>
      <c r="M70">
        <f t="shared" si="24"/>
        <v>5</v>
      </c>
      <c r="N70">
        <v>5</v>
      </c>
      <c r="R70">
        <f t="shared" si="25"/>
        <v>1</v>
      </c>
      <c r="S70">
        <f t="shared" si="26"/>
        <v>1</v>
      </c>
      <c r="T70">
        <f t="shared" si="27"/>
        <v>1</v>
      </c>
      <c r="U70">
        <f t="shared" si="28"/>
        <v>1</v>
      </c>
      <c r="V70">
        <f t="shared" si="29"/>
        <v>10</v>
      </c>
      <c r="W70">
        <v>10</v>
      </c>
      <c r="AA70">
        <f t="shared" si="30"/>
        <v>1</v>
      </c>
      <c r="AB70">
        <f t="shared" si="31"/>
        <v>1</v>
      </c>
      <c r="AC70">
        <f t="shared" si="32"/>
        <v>1</v>
      </c>
      <c r="AD70">
        <f t="shared" si="33"/>
        <v>1</v>
      </c>
    </row>
    <row r="71" spans="1:30" x14ac:dyDescent="0.2">
      <c r="A71" s="23" t="s">
        <v>223</v>
      </c>
      <c r="B71" t="s">
        <v>222</v>
      </c>
      <c r="C71">
        <f t="shared" si="18"/>
        <v>20</v>
      </c>
      <c r="D71">
        <f t="shared" si="19"/>
        <v>6</v>
      </c>
      <c r="E71">
        <v>6</v>
      </c>
      <c r="I71">
        <f t="shared" si="20"/>
        <v>1</v>
      </c>
      <c r="J71">
        <f t="shared" si="21"/>
        <v>1</v>
      </c>
      <c r="K71">
        <f t="shared" si="22"/>
        <v>1</v>
      </c>
      <c r="L71">
        <f t="shared" si="23"/>
        <v>1</v>
      </c>
      <c r="M71">
        <f t="shared" si="24"/>
        <v>7</v>
      </c>
      <c r="N71">
        <v>7</v>
      </c>
      <c r="R71">
        <f t="shared" si="25"/>
        <v>1</v>
      </c>
      <c r="S71">
        <f t="shared" si="26"/>
        <v>1</v>
      </c>
      <c r="T71">
        <f t="shared" si="27"/>
        <v>1</v>
      </c>
      <c r="U71">
        <f t="shared" si="28"/>
        <v>1</v>
      </c>
      <c r="V71">
        <f t="shared" si="29"/>
        <v>7</v>
      </c>
      <c r="W71">
        <v>7</v>
      </c>
      <c r="AA71">
        <f t="shared" si="30"/>
        <v>1</v>
      </c>
      <c r="AB71">
        <f t="shared" si="31"/>
        <v>1</v>
      </c>
      <c r="AC71">
        <f t="shared" si="32"/>
        <v>1</v>
      </c>
      <c r="AD71">
        <f t="shared" si="33"/>
        <v>1</v>
      </c>
    </row>
    <row r="72" spans="1:30" x14ac:dyDescent="0.2">
      <c r="A72" s="23"/>
      <c r="B72" t="s">
        <v>294</v>
      </c>
      <c r="C72">
        <f t="shared" si="18"/>
        <v>20</v>
      </c>
      <c r="D72">
        <f t="shared" si="19"/>
        <v>7</v>
      </c>
      <c r="E72">
        <v>7</v>
      </c>
      <c r="I72">
        <f t="shared" si="20"/>
        <v>1</v>
      </c>
      <c r="J72">
        <f t="shared" si="21"/>
        <v>1</v>
      </c>
      <c r="K72">
        <f t="shared" si="22"/>
        <v>1</v>
      </c>
      <c r="L72">
        <f t="shared" si="23"/>
        <v>1</v>
      </c>
      <c r="M72">
        <f t="shared" si="24"/>
        <v>4</v>
      </c>
      <c r="N72">
        <v>4</v>
      </c>
      <c r="R72">
        <f t="shared" si="25"/>
        <v>1</v>
      </c>
      <c r="S72">
        <f t="shared" si="26"/>
        <v>1</v>
      </c>
      <c r="T72">
        <f t="shared" si="27"/>
        <v>1</v>
      </c>
      <c r="U72">
        <f t="shared" si="28"/>
        <v>1</v>
      </c>
      <c r="V72">
        <f t="shared" si="29"/>
        <v>9</v>
      </c>
      <c r="W72">
        <v>9</v>
      </c>
      <c r="AA72">
        <f t="shared" si="30"/>
        <v>1</v>
      </c>
      <c r="AB72">
        <f t="shared" si="31"/>
        <v>1</v>
      </c>
      <c r="AC72">
        <f t="shared" si="32"/>
        <v>1</v>
      </c>
      <c r="AD72">
        <f t="shared" si="33"/>
        <v>1</v>
      </c>
    </row>
    <row r="73" spans="1:30" x14ac:dyDescent="0.2">
      <c r="A73" s="23"/>
      <c r="B73" t="s">
        <v>221</v>
      </c>
      <c r="C73">
        <f t="shared" si="18"/>
        <v>19</v>
      </c>
      <c r="D73">
        <f t="shared" si="19"/>
        <v>7</v>
      </c>
      <c r="E73">
        <v>7</v>
      </c>
      <c r="I73">
        <f t="shared" si="20"/>
        <v>1</v>
      </c>
      <c r="J73">
        <f t="shared" si="21"/>
        <v>1</v>
      </c>
      <c r="K73">
        <f t="shared" si="22"/>
        <v>1</v>
      </c>
      <c r="L73">
        <f t="shared" si="23"/>
        <v>1</v>
      </c>
      <c r="M73">
        <f t="shared" si="24"/>
        <v>7</v>
      </c>
      <c r="N73">
        <v>7</v>
      </c>
      <c r="R73">
        <f t="shared" si="25"/>
        <v>1</v>
      </c>
      <c r="S73">
        <f t="shared" si="26"/>
        <v>1</v>
      </c>
      <c r="T73">
        <f t="shared" si="27"/>
        <v>1</v>
      </c>
      <c r="U73">
        <f t="shared" si="28"/>
        <v>1</v>
      </c>
      <c r="V73">
        <f t="shared" si="29"/>
        <v>5</v>
      </c>
      <c r="W73">
        <v>4</v>
      </c>
      <c r="Y73">
        <v>1</v>
      </c>
      <c r="AA73">
        <f t="shared" si="30"/>
        <v>0.8</v>
      </c>
      <c r="AB73">
        <f t="shared" si="31"/>
        <v>0.8</v>
      </c>
      <c r="AC73">
        <f t="shared" si="32"/>
        <v>1</v>
      </c>
      <c r="AD73">
        <f t="shared" si="33"/>
        <v>0.88888888888888895</v>
      </c>
    </row>
    <row r="74" spans="1:30" x14ac:dyDescent="0.2">
      <c r="A74" s="23"/>
      <c r="B74" t="s">
        <v>220</v>
      </c>
      <c r="C74">
        <f t="shared" si="18"/>
        <v>20</v>
      </c>
      <c r="D74">
        <f t="shared" si="19"/>
        <v>7</v>
      </c>
      <c r="E74">
        <v>7</v>
      </c>
      <c r="I74">
        <f t="shared" si="20"/>
        <v>1</v>
      </c>
      <c r="J74">
        <f t="shared" si="21"/>
        <v>1</v>
      </c>
      <c r="K74">
        <f t="shared" si="22"/>
        <v>1</v>
      </c>
      <c r="L74">
        <f t="shared" si="23"/>
        <v>1</v>
      </c>
      <c r="M74">
        <f t="shared" si="24"/>
        <v>8</v>
      </c>
      <c r="N74">
        <v>8</v>
      </c>
      <c r="R74">
        <f t="shared" si="25"/>
        <v>1</v>
      </c>
      <c r="S74">
        <f t="shared" si="26"/>
        <v>1</v>
      </c>
      <c r="T74">
        <f t="shared" si="27"/>
        <v>1</v>
      </c>
      <c r="U74">
        <f t="shared" si="28"/>
        <v>1</v>
      </c>
      <c r="V74">
        <f t="shared" si="29"/>
        <v>5</v>
      </c>
      <c r="W74">
        <v>5</v>
      </c>
      <c r="AA74">
        <f t="shared" si="30"/>
        <v>1</v>
      </c>
      <c r="AB74">
        <f t="shared" si="31"/>
        <v>1</v>
      </c>
      <c r="AC74">
        <f t="shared" si="32"/>
        <v>1</v>
      </c>
      <c r="AD74">
        <f t="shared" si="33"/>
        <v>1</v>
      </c>
    </row>
    <row r="75" spans="1:30" x14ac:dyDescent="0.2">
      <c r="A75" s="23"/>
      <c r="B75" t="s">
        <v>219</v>
      </c>
      <c r="C75">
        <f t="shared" si="18"/>
        <v>20</v>
      </c>
      <c r="D75">
        <f t="shared" si="19"/>
        <v>9</v>
      </c>
      <c r="E75">
        <v>8</v>
      </c>
      <c r="G75">
        <v>1</v>
      </c>
      <c r="I75">
        <f t="shared" si="20"/>
        <v>0.88888888888888884</v>
      </c>
      <c r="J75">
        <f t="shared" si="21"/>
        <v>0.88888888888888884</v>
      </c>
      <c r="K75">
        <f t="shared" si="22"/>
        <v>1</v>
      </c>
      <c r="L75">
        <f t="shared" si="23"/>
        <v>0.94117647058823528</v>
      </c>
      <c r="M75">
        <f t="shared" si="24"/>
        <v>8</v>
      </c>
      <c r="N75">
        <v>8</v>
      </c>
      <c r="R75">
        <f t="shared" si="25"/>
        <v>1</v>
      </c>
      <c r="S75">
        <f t="shared" si="26"/>
        <v>1</v>
      </c>
      <c r="T75">
        <f t="shared" si="27"/>
        <v>1</v>
      </c>
      <c r="U75">
        <f t="shared" si="28"/>
        <v>1</v>
      </c>
      <c r="V75">
        <f t="shared" si="29"/>
        <v>3</v>
      </c>
      <c r="W75">
        <v>1</v>
      </c>
      <c r="Y75">
        <v>2</v>
      </c>
      <c r="AA75">
        <f t="shared" si="30"/>
        <v>0.33333333333333331</v>
      </c>
      <c r="AB75">
        <f t="shared" si="31"/>
        <v>0.33333333333333331</v>
      </c>
      <c r="AC75">
        <f t="shared" si="32"/>
        <v>1</v>
      </c>
      <c r="AD75">
        <f t="shared" si="33"/>
        <v>0.5</v>
      </c>
    </row>
    <row r="76" spans="1:30" x14ac:dyDescent="0.2">
      <c r="A76" s="23"/>
      <c r="B76" t="s">
        <v>218</v>
      </c>
      <c r="C76">
        <f t="shared" si="18"/>
        <v>20</v>
      </c>
      <c r="D76">
        <f t="shared" si="19"/>
        <v>5</v>
      </c>
      <c r="E76">
        <v>5</v>
      </c>
      <c r="I76">
        <f t="shared" si="20"/>
        <v>1</v>
      </c>
      <c r="J76">
        <f t="shared" si="21"/>
        <v>1</v>
      </c>
      <c r="K76">
        <f t="shared" si="22"/>
        <v>1</v>
      </c>
      <c r="L76">
        <f t="shared" si="23"/>
        <v>1</v>
      </c>
      <c r="M76">
        <f t="shared" si="24"/>
        <v>1</v>
      </c>
      <c r="N76">
        <v>1</v>
      </c>
      <c r="R76">
        <f t="shared" si="25"/>
        <v>1</v>
      </c>
      <c r="S76">
        <f t="shared" si="26"/>
        <v>1</v>
      </c>
      <c r="T76">
        <f t="shared" si="27"/>
        <v>1</v>
      </c>
      <c r="U76">
        <f t="shared" si="28"/>
        <v>1</v>
      </c>
      <c r="V76">
        <f t="shared" si="29"/>
        <v>14</v>
      </c>
      <c r="W76">
        <v>14</v>
      </c>
      <c r="AA76">
        <f t="shared" si="30"/>
        <v>1</v>
      </c>
      <c r="AB76">
        <f t="shared" si="31"/>
        <v>1</v>
      </c>
      <c r="AC76">
        <f t="shared" si="32"/>
        <v>1</v>
      </c>
      <c r="AD76">
        <f t="shared" si="33"/>
        <v>1</v>
      </c>
    </row>
    <row r="77" spans="1:30" x14ac:dyDescent="0.2">
      <c r="A77" s="23"/>
      <c r="B77" t="s">
        <v>217</v>
      </c>
      <c r="C77">
        <f t="shared" si="18"/>
        <v>20</v>
      </c>
      <c r="D77">
        <f t="shared" si="19"/>
        <v>7</v>
      </c>
      <c r="E77">
        <v>7</v>
      </c>
      <c r="I77">
        <f t="shared" si="20"/>
        <v>1</v>
      </c>
      <c r="J77">
        <f t="shared" si="21"/>
        <v>1</v>
      </c>
      <c r="K77">
        <f t="shared" si="22"/>
        <v>1</v>
      </c>
      <c r="L77">
        <f t="shared" si="23"/>
        <v>1</v>
      </c>
      <c r="M77">
        <f t="shared" si="24"/>
        <v>5</v>
      </c>
      <c r="N77">
        <v>5</v>
      </c>
      <c r="R77">
        <f t="shared" si="25"/>
        <v>1</v>
      </c>
      <c r="S77">
        <f t="shared" si="26"/>
        <v>1</v>
      </c>
      <c r="T77">
        <f t="shared" si="27"/>
        <v>1</v>
      </c>
      <c r="U77">
        <f t="shared" si="28"/>
        <v>1</v>
      </c>
      <c r="V77">
        <f t="shared" si="29"/>
        <v>8</v>
      </c>
      <c r="W77">
        <v>8</v>
      </c>
      <c r="AA77">
        <f t="shared" si="30"/>
        <v>1</v>
      </c>
      <c r="AB77">
        <f t="shared" si="31"/>
        <v>1</v>
      </c>
      <c r="AC77">
        <f t="shared" si="32"/>
        <v>1</v>
      </c>
      <c r="AD77">
        <f t="shared" si="33"/>
        <v>1</v>
      </c>
    </row>
    <row r="78" spans="1:30" x14ac:dyDescent="0.2">
      <c r="A78" s="23"/>
      <c r="B78" t="s">
        <v>216</v>
      </c>
      <c r="C78">
        <f t="shared" si="18"/>
        <v>20</v>
      </c>
      <c r="D78">
        <f t="shared" si="19"/>
        <v>9</v>
      </c>
      <c r="E78">
        <v>9</v>
      </c>
      <c r="I78">
        <f t="shared" si="20"/>
        <v>1</v>
      </c>
      <c r="J78">
        <f t="shared" si="21"/>
        <v>1</v>
      </c>
      <c r="K78">
        <f t="shared" si="22"/>
        <v>1</v>
      </c>
      <c r="L78">
        <f t="shared" si="23"/>
        <v>1</v>
      </c>
      <c r="M78">
        <f t="shared" si="24"/>
        <v>7</v>
      </c>
      <c r="N78">
        <v>7</v>
      </c>
      <c r="R78">
        <f t="shared" si="25"/>
        <v>1</v>
      </c>
      <c r="S78">
        <f t="shared" si="26"/>
        <v>1</v>
      </c>
      <c r="T78">
        <f t="shared" si="27"/>
        <v>1</v>
      </c>
      <c r="U78">
        <f t="shared" si="28"/>
        <v>1</v>
      </c>
      <c r="V78">
        <f t="shared" si="29"/>
        <v>4</v>
      </c>
      <c r="W78">
        <v>4</v>
      </c>
      <c r="AA78">
        <f t="shared" si="30"/>
        <v>1</v>
      </c>
      <c r="AB78">
        <f t="shared" si="31"/>
        <v>1</v>
      </c>
      <c r="AC78">
        <f t="shared" si="32"/>
        <v>1</v>
      </c>
      <c r="AD78">
        <f t="shared" si="33"/>
        <v>1</v>
      </c>
    </row>
    <row r="79" spans="1:30" x14ac:dyDescent="0.2">
      <c r="A79" s="23"/>
      <c r="B79" t="s">
        <v>215</v>
      </c>
      <c r="C79">
        <f t="shared" si="18"/>
        <v>20</v>
      </c>
      <c r="D79">
        <f t="shared" si="19"/>
        <v>7</v>
      </c>
      <c r="E79">
        <v>7</v>
      </c>
      <c r="I79">
        <f t="shared" si="20"/>
        <v>1</v>
      </c>
      <c r="J79">
        <f t="shared" si="21"/>
        <v>1</v>
      </c>
      <c r="K79">
        <f t="shared" si="22"/>
        <v>1</v>
      </c>
      <c r="L79">
        <f t="shared" si="23"/>
        <v>1</v>
      </c>
      <c r="M79">
        <f t="shared" si="24"/>
        <v>5</v>
      </c>
      <c r="N79">
        <v>5</v>
      </c>
      <c r="R79">
        <f t="shared" si="25"/>
        <v>1</v>
      </c>
      <c r="S79">
        <f t="shared" si="26"/>
        <v>1</v>
      </c>
      <c r="T79">
        <f t="shared" si="27"/>
        <v>1</v>
      </c>
      <c r="U79">
        <f t="shared" si="28"/>
        <v>1</v>
      </c>
      <c r="V79">
        <f t="shared" si="29"/>
        <v>8</v>
      </c>
      <c r="W79">
        <v>7</v>
      </c>
      <c r="Y79">
        <v>1</v>
      </c>
      <c r="AA79">
        <f t="shared" si="30"/>
        <v>0.875</v>
      </c>
      <c r="AB79">
        <f t="shared" si="31"/>
        <v>0.875</v>
      </c>
      <c r="AC79">
        <f t="shared" si="32"/>
        <v>1</v>
      </c>
      <c r="AD79">
        <f t="shared" si="33"/>
        <v>0.93333333333333335</v>
      </c>
    </row>
    <row r="80" spans="1:30" x14ac:dyDescent="0.2">
      <c r="A80" s="23"/>
      <c r="B80" t="s">
        <v>214</v>
      </c>
      <c r="C80">
        <f t="shared" si="18"/>
        <v>20</v>
      </c>
      <c r="D80">
        <f t="shared" si="19"/>
        <v>9</v>
      </c>
      <c r="E80">
        <v>8</v>
      </c>
      <c r="H80">
        <v>1</v>
      </c>
      <c r="I80">
        <f t="shared" si="20"/>
        <v>0.88888888888888884</v>
      </c>
      <c r="J80">
        <f t="shared" si="21"/>
        <v>1</v>
      </c>
      <c r="K80">
        <f t="shared" si="22"/>
        <v>0.88888888888888884</v>
      </c>
      <c r="L80">
        <f t="shared" si="23"/>
        <v>0.94117647058823528</v>
      </c>
      <c r="M80">
        <f t="shared" si="24"/>
        <v>7</v>
      </c>
      <c r="N80">
        <v>7</v>
      </c>
      <c r="R80">
        <f t="shared" si="25"/>
        <v>1</v>
      </c>
      <c r="S80">
        <f t="shared" si="26"/>
        <v>1</v>
      </c>
      <c r="T80">
        <f t="shared" si="27"/>
        <v>1</v>
      </c>
      <c r="U80">
        <f t="shared" si="28"/>
        <v>1</v>
      </c>
      <c r="V80">
        <f t="shared" si="29"/>
        <v>4</v>
      </c>
      <c r="W80">
        <v>4</v>
      </c>
      <c r="AA80">
        <f t="shared" si="30"/>
        <v>1</v>
      </c>
      <c r="AB80">
        <f t="shared" si="31"/>
        <v>1</v>
      </c>
      <c r="AC80">
        <f t="shared" si="32"/>
        <v>1</v>
      </c>
      <c r="AD80">
        <f t="shared" si="33"/>
        <v>1</v>
      </c>
    </row>
    <row r="81" spans="1:30" x14ac:dyDescent="0.2">
      <c r="A81" s="23"/>
      <c r="B81" t="s">
        <v>213</v>
      </c>
      <c r="C81">
        <f t="shared" si="18"/>
        <v>20</v>
      </c>
      <c r="D81">
        <f t="shared" si="19"/>
        <v>8</v>
      </c>
      <c r="E81">
        <v>8</v>
      </c>
      <c r="I81">
        <f t="shared" si="20"/>
        <v>1</v>
      </c>
      <c r="J81">
        <f t="shared" si="21"/>
        <v>1</v>
      </c>
      <c r="K81">
        <f t="shared" si="22"/>
        <v>1</v>
      </c>
      <c r="L81">
        <f t="shared" si="23"/>
        <v>1</v>
      </c>
      <c r="M81">
        <f t="shared" si="24"/>
        <v>4</v>
      </c>
      <c r="N81">
        <v>3</v>
      </c>
      <c r="P81">
        <v>1</v>
      </c>
      <c r="R81">
        <f t="shared" si="25"/>
        <v>0.75</v>
      </c>
      <c r="S81">
        <f t="shared" si="26"/>
        <v>0.75</v>
      </c>
      <c r="T81">
        <f t="shared" si="27"/>
        <v>1</v>
      </c>
      <c r="U81">
        <f t="shared" si="28"/>
        <v>0.8571428571428571</v>
      </c>
      <c r="V81">
        <f t="shared" si="29"/>
        <v>8</v>
      </c>
      <c r="W81">
        <v>8</v>
      </c>
      <c r="AA81">
        <f t="shared" si="30"/>
        <v>1</v>
      </c>
      <c r="AB81">
        <f t="shared" si="31"/>
        <v>1</v>
      </c>
      <c r="AC81">
        <f t="shared" si="32"/>
        <v>1</v>
      </c>
      <c r="AD81">
        <f t="shared" si="33"/>
        <v>1</v>
      </c>
    </row>
    <row r="82" spans="1:30" x14ac:dyDescent="0.2">
      <c r="A82" s="23"/>
      <c r="B82" t="s">
        <v>212</v>
      </c>
      <c r="C82">
        <f t="shared" si="18"/>
        <v>20</v>
      </c>
      <c r="D82">
        <f t="shared" si="19"/>
        <v>7</v>
      </c>
      <c r="E82">
        <v>7</v>
      </c>
      <c r="I82">
        <f t="shared" si="20"/>
        <v>1</v>
      </c>
      <c r="J82">
        <f t="shared" si="21"/>
        <v>1</v>
      </c>
      <c r="K82">
        <f t="shared" si="22"/>
        <v>1</v>
      </c>
      <c r="L82">
        <f t="shared" si="23"/>
        <v>1</v>
      </c>
      <c r="M82">
        <f t="shared" si="24"/>
        <v>5</v>
      </c>
      <c r="N82">
        <v>5</v>
      </c>
      <c r="R82">
        <f t="shared" si="25"/>
        <v>1</v>
      </c>
      <c r="S82">
        <f t="shared" si="26"/>
        <v>1</v>
      </c>
      <c r="T82">
        <f t="shared" si="27"/>
        <v>1</v>
      </c>
      <c r="U82">
        <f t="shared" si="28"/>
        <v>1</v>
      </c>
      <c r="V82">
        <f t="shared" si="29"/>
        <v>8</v>
      </c>
      <c r="W82">
        <v>7</v>
      </c>
      <c r="Y82">
        <v>1</v>
      </c>
      <c r="AA82">
        <f t="shared" si="30"/>
        <v>0.875</v>
      </c>
      <c r="AB82">
        <f t="shared" si="31"/>
        <v>0.875</v>
      </c>
      <c r="AC82">
        <f t="shared" si="32"/>
        <v>1</v>
      </c>
      <c r="AD82">
        <f t="shared" si="33"/>
        <v>0.93333333333333335</v>
      </c>
    </row>
    <row r="83" spans="1:30" x14ac:dyDescent="0.2">
      <c r="A83" s="23"/>
      <c r="B83" t="s">
        <v>211</v>
      </c>
      <c r="C83">
        <f t="shared" si="18"/>
        <v>20</v>
      </c>
      <c r="D83">
        <f t="shared" si="19"/>
        <v>9</v>
      </c>
      <c r="E83">
        <v>8</v>
      </c>
      <c r="G83">
        <v>1</v>
      </c>
      <c r="I83">
        <f t="shared" si="20"/>
        <v>0.88888888888888884</v>
      </c>
      <c r="J83">
        <f t="shared" si="21"/>
        <v>0.88888888888888884</v>
      </c>
      <c r="K83">
        <f t="shared" si="22"/>
        <v>1</v>
      </c>
      <c r="L83">
        <f t="shared" si="23"/>
        <v>0.94117647058823528</v>
      </c>
      <c r="M83">
        <f t="shared" si="24"/>
        <v>5</v>
      </c>
      <c r="N83">
        <v>5</v>
      </c>
      <c r="R83">
        <f t="shared" si="25"/>
        <v>1</v>
      </c>
      <c r="S83">
        <f t="shared" si="26"/>
        <v>1</v>
      </c>
      <c r="T83">
        <f t="shared" si="27"/>
        <v>1</v>
      </c>
      <c r="U83">
        <f t="shared" si="28"/>
        <v>1</v>
      </c>
      <c r="V83">
        <f t="shared" si="29"/>
        <v>6</v>
      </c>
      <c r="W83">
        <v>6</v>
      </c>
      <c r="AA83">
        <f t="shared" si="30"/>
        <v>1</v>
      </c>
      <c r="AB83">
        <f t="shared" si="31"/>
        <v>1</v>
      </c>
      <c r="AC83">
        <f t="shared" si="32"/>
        <v>1</v>
      </c>
      <c r="AD83">
        <f t="shared" si="33"/>
        <v>1</v>
      </c>
    </row>
    <row r="84" spans="1:30" x14ac:dyDescent="0.2">
      <c r="A84" s="23"/>
      <c r="B84" t="s">
        <v>210</v>
      </c>
      <c r="C84">
        <f t="shared" si="18"/>
        <v>20</v>
      </c>
      <c r="D84">
        <f t="shared" si="19"/>
        <v>7</v>
      </c>
      <c r="E84">
        <v>7</v>
      </c>
      <c r="I84">
        <f t="shared" si="20"/>
        <v>1</v>
      </c>
      <c r="J84">
        <f t="shared" si="21"/>
        <v>1</v>
      </c>
      <c r="K84">
        <f t="shared" si="22"/>
        <v>1</v>
      </c>
      <c r="L84">
        <f t="shared" si="23"/>
        <v>1</v>
      </c>
      <c r="M84">
        <f t="shared" si="24"/>
        <v>7</v>
      </c>
      <c r="N84">
        <v>7</v>
      </c>
      <c r="R84">
        <f t="shared" si="25"/>
        <v>1</v>
      </c>
      <c r="S84">
        <f t="shared" si="26"/>
        <v>1</v>
      </c>
      <c r="T84">
        <f t="shared" si="27"/>
        <v>1</v>
      </c>
      <c r="U84">
        <f t="shared" si="28"/>
        <v>1</v>
      </c>
      <c r="V84">
        <f t="shared" si="29"/>
        <v>6</v>
      </c>
      <c r="W84">
        <v>6</v>
      </c>
      <c r="AA84">
        <f t="shared" si="30"/>
        <v>1</v>
      </c>
      <c r="AB84">
        <f t="shared" si="31"/>
        <v>1</v>
      </c>
      <c r="AC84">
        <f t="shared" si="32"/>
        <v>1</v>
      </c>
      <c r="AD84">
        <f t="shared" si="33"/>
        <v>1</v>
      </c>
    </row>
    <row r="85" spans="1:30" x14ac:dyDescent="0.2">
      <c r="A85" s="23"/>
      <c r="B85" t="s">
        <v>209</v>
      </c>
      <c r="C85">
        <f t="shared" si="18"/>
        <v>14</v>
      </c>
      <c r="D85">
        <f t="shared" si="19"/>
        <v>6</v>
      </c>
      <c r="E85">
        <v>6</v>
      </c>
      <c r="I85">
        <f t="shared" si="20"/>
        <v>1</v>
      </c>
      <c r="J85">
        <f t="shared" si="21"/>
        <v>1</v>
      </c>
      <c r="K85">
        <f t="shared" si="22"/>
        <v>1</v>
      </c>
      <c r="L85">
        <f t="shared" si="23"/>
        <v>1</v>
      </c>
      <c r="M85">
        <f t="shared" si="24"/>
        <v>2</v>
      </c>
      <c r="N85">
        <v>2</v>
      </c>
      <c r="R85">
        <f t="shared" si="25"/>
        <v>1</v>
      </c>
      <c r="S85">
        <f t="shared" si="26"/>
        <v>1</v>
      </c>
      <c r="T85">
        <f t="shared" si="27"/>
        <v>1</v>
      </c>
      <c r="U85">
        <f t="shared" si="28"/>
        <v>1</v>
      </c>
      <c r="V85">
        <f t="shared" si="29"/>
        <v>6</v>
      </c>
      <c r="W85">
        <v>4</v>
      </c>
      <c r="Y85">
        <v>2</v>
      </c>
      <c r="AA85">
        <f t="shared" si="30"/>
        <v>0.66666666666666663</v>
      </c>
      <c r="AB85">
        <f t="shared" si="31"/>
        <v>0.66666666666666663</v>
      </c>
      <c r="AC85">
        <f t="shared" si="32"/>
        <v>1</v>
      </c>
      <c r="AD85">
        <f t="shared" si="33"/>
        <v>0.8</v>
      </c>
    </row>
    <row r="86" spans="1:30" x14ac:dyDescent="0.2">
      <c r="A86" s="23"/>
      <c r="B86" t="s">
        <v>208</v>
      </c>
      <c r="C86">
        <f t="shared" si="18"/>
        <v>20</v>
      </c>
      <c r="D86">
        <f t="shared" si="19"/>
        <v>8</v>
      </c>
      <c r="E86">
        <v>8</v>
      </c>
      <c r="I86">
        <f t="shared" si="20"/>
        <v>1</v>
      </c>
      <c r="J86">
        <f t="shared" si="21"/>
        <v>1</v>
      </c>
      <c r="K86">
        <f t="shared" si="22"/>
        <v>1</v>
      </c>
      <c r="L86">
        <f t="shared" si="23"/>
        <v>1</v>
      </c>
      <c r="M86">
        <f t="shared" si="24"/>
        <v>7</v>
      </c>
      <c r="N86">
        <v>5</v>
      </c>
      <c r="P86">
        <v>1</v>
      </c>
      <c r="Q86">
        <v>1</v>
      </c>
      <c r="R86">
        <f t="shared" si="25"/>
        <v>0.7142857142857143</v>
      </c>
      <c r="S86">
        <f t="shared" si="26"/>
        <v>0.83333333333333337</v>
      </c>
      <c r="T86">
        <f t="shared" si="27"/>
        <v>0.83333333333333337</v>
      </c>
      <c r="U86">
        <f t="shared" si="28"/>
        <v>0.83333333333333337</v>
      </c>
      <c r="V86">
        <f t="shared" si="29"/>
        <v>5</v>
      </c>
      <c r="W86">
        <v>5</v>
      </c>
      <c r="AA86">
        <f t="shared" si="30"/>
        <v>1</v>
      </c>
      <c r="AB86">
        <f t="shared" si="31"/>
        <v>1</v>
      </c>
      <c r="AC86">
        <f t="shared" si="32"/>
        <v>1</v>
      </c>
      <c r="AD86">
        <f t="shared" si="33"/>
        <v>1</v>
      </c>
    </row>
    <row r="87" spans="1:30" x14ac:dyDescent="0.2">
      <c r="A87" s="23"/>
      <c r="B87" t="s">
        <v>207</v>
      </c>
      <c r="C87">
        <f t="shared" si="18"/>
        <v>10</v>
      </c>
      <c r="D87">
        <f t="shared" si="19"/>
        <v>3</v>
      </c>
      <c r="E87">
        <v>3</v>
      </c>
      <c r="I87">
        <f t="shared" si="20"/>
        <v>1</v>
      </c>
      <c r="J87">
        <f t="shared" si="21"/>
        <v>1</v>
      </c>
      <c r="K87">
        <f t="shared" si="22"/>
        <v>1</v>
      </c>
      <c r="L87">
        <f t="shared" si="23"/>
        <v>1</v>
      </c>
      <c r="M87">
        <f t="shared" si="24"/>
        <v>2</v>
      </c>
      <c r="N87">
        <v>2</v>
      </c>
      <c r="R87">
        <f t="shared" si="25"/>
        <v>1</v>
      </c>
      <c r="S87">
        <f t="shared" si="26"/>
        <v>1</v>
      </c>
      <c r="T87">
        <f t="shared" si="27"/>
        <v>1</v>
      </c>
      <c r="U87">
        <f t="shared" si="28"/>
        <v>1</v>
      </c>
      <c r="V87">
        <f t="shared" si="29"/>
        <v>5</v>
      </c>
      <c r="W87">
        <v>5</v>
      </c>
      <c r="AA87">
        <f t="shared" si="30"/>
        <v>1</v>
      </c>
      <c r="AB87">
        <f t="shared" si="31"/>
        <v>1</v>
      </c>
      <c r="AC87">
        <f t="shared" si="32"/>
        <v>1</v>
      </c>
      <c r="AD87">
        <f t="shared" si="33"/>
        <v>1</v>
      </c>
    </row>
    <row r="88" spans="1:30" x14ac:dyDescent="0.2">
      <c r="A88" s="23"/>
      <c r="B88" t="s">
        <v>206</v>
      </c>
      <c r="C88">
        <f t="shared" si="18"/>
        <v>20</v>
      </c>
      <c r="D88">
        <f t="shared" si="19"/>
        <v>7</v>
      </c>
      <c r="E88">
        <v>7</v>
      </c>
      <c r="I88">
        <f t="shared" si="20"/>
        <v>1</v>
      </c>
      <c r="J88">
        <f t="shared" si="21"/>
        <v>1</v>
      </c>
      <c r="K88">
        <f t="shared" si="22"/>
        <v>1</v>
      </c>
      <c r="L88">
        <f t="shared" si="23"/>
        <v>1</v>
      </c>
      <c r="M88">
        <f t="shared" si="24"/>
        <v>6</v>
      </c>
      <c r="N88">
        <v>6</v>
      </c>
      <c r="R88">
        <f t="shared" si="25"/>
        <v>1</v>
      </c>
      <c r="S88">
        <f t="shared" si="26"/>
        <v>1</v>
      </c>
      <c r="T88">
        <f t="shared" si="27"/>
        <v>1</v>
      </c>
      <c r="U88">
        <f t="shared" si="28"/>
        <v>1</v>
      </c>
      <c r="V88">
        <f t="shared" si="29"/>
        <v>7</v>
      </c>
      <c r="W88">
        <v>7</v>
      </c>
      <c r="AA88">
        <f t="shared" si="30"/>
        <v>1</v>
      </c>
      <c r="AB88">
        <f t="shared" si="31"/>
        <v>1</v>
      </c>
      <c r="AC88">
        <f t="shared" si="32"/>
        <v>1</v>
      </c>
      <c r="AD88">
        <f t="shared" si="33"/>
        <v>1</v>
      </c>
    </row>
    <row r="89" spans="1:30" x14ac:dyDescent="0.2">
      <c r="A89" s="23"/>
      <c r="B89" t="s">
        <v>205</v>
      </c>
      <c r="C89">
        <f t="shared" si="18"/>
        <v>20</v>
      </c>
      <c r="D89">
        <f t="shared" si="19"/>
        <v>7</v>
      </c>
      <c r="E89">
        <v>7</v>
      </c>
      <c r="I89">
        <f t="shared" si="20"/>
        <v>1</v>
      </c>
      <c r="J89">
        <f t="shared" si="21"/>
        <v>1</v>
      </c>
      <c r="K89">
        <f t="shared" si="22"/>
        <v>1</v>
      </c>
      <c r="L89">
        <f t="shared" si="23"/>
        <v>1</v>
      </c>
      <c r="M89">
        <f t="shared" si="24"/>
        <v>9</v>
      </c>
      <c r="N89">
        <v>9</v>
      </c>
      <c r="R89">
        <f t="shared" si="25"/>
        <v>1</v>
      </c>
      <c r="S89">
        <f t="shared" si="26"/>
        <v>1</v>
      </c>
      <c r="T89">
        <f t="shared" si="27"/>
        <v>1</v>
      </c>
      <c r="U89">
        <f t="shared" si="28"/>
        <v>1</v>
      </c>
      <c r="V89">
        <f t="shared" si="29"/>
        <v>4</v>
      </c>
      <c r="W89">
        <v>4</v>
      </c>
      <c r="AA89">
        <f t="shared" si="30"/>
        <v>1</v>
      </c>
      <c r="AB89">
        <f t="shared" si="31"/>
        <v>1</v>
      </c>
      <c r="AC89">
        <f t="shared" si="32"/>
        <v>1</v>
      </c>
      <c r="AD89">
        <f t="shared" si="33"/>
        <v>1</v>
      </c>
    </row>
    <row r="90" spans="1:30" x14ac:dyDescent="0.2">
      <c r="A90" s="23"/>
      <c r="B90" t="s">
        <v>204</v>
      </c>
      <c r="C90">
        <f t="shared" si="18"/>
        <v>17</v>
      </c>
      <c r="D90">
        <f t="shared" si="19"/>
        <v>8</v>
      </c>
      <c r="E90">
        <v>8</v>
      </c>
      <c r="I90">
        <f t="shared" si="20"/>
        <v>1</v>
      </c>
      <c r="J90">
        <f t="shared" si="21"/>
        <v>1</v>
      </c>
      <c r="K90">
        <f t="shared" si="22"/>
        <v>1</v>
      </c>
      <c r="L90">
        <f t="shared" si="23"/>
        <v>1</v>
      </c>
      <c r="M90">
        <f t="shared" si="24"/>
        <v>3</v>
      </c>
      <c r="N90">
        <v>3</v>
      </c>
      <c r="R90">
        <f t="shared" si="25"/>
        <v>1</v>
      </c>
      <c r="S90">
        <f t="shared" si="26"/>
        <v>1</v>
      </c>
      <c r="T90">
        <f t="shared" si="27"/>
        <v>1</v>
      </c>
      <c r="U90">
        <f t="shared" si="28"/>
        <v>1</v>
      </c>
      <c r="V90">
        <f t="shared" si="29"/>
        <v>6</v>
      </c>
      <c r="W90">
        <v>6</v>
      </c>
      <c r="AA90">
        <f t="shared" si="30"/>
        <v>1</v>
      </c>
      <c r="AB90">
        <f t="shared" si="31"/>
        <v>1</v>
      </c>
      <c r="AC90">
        <f t="shared" si="32"/>
        <v>1</v>
      </c>
      <c r="AD90">
        <f t="shared" si="33"/>
        <v>1</v>
      </c>
    </row>
    <row r="91" spans="1:30" x14ac:dyDescent="0.2">
      <c r="A91" s="23"/>
      <c r="B91" t="s">
        <v>203</v>
      </c>
      <c r="C91">
        <f t="shared" si="18"/>
        <v>20</v>
      </c>
      <c r="D91">
        <f t="shared" si="19"/>
        <v>8</v>
      </c>
      <c r="E91">
        <v>8</v>
      </c>
      <c r="I91">
        <f t="shared" si="20"/>
        <v>1</v>
      </c>
      <c r="J91">
        <f t="shared" si="21"/>
        <v>1</v>
      </c>
      <c r="K91">
        <f t="shared" si="22"/>
        <v>1</v>
      </c>
      <c r="L91">
        <f t="shared" si="23"/>
        <v>1</v>
      </c>
      <c r="M91">
        <f t="shared" si="24"/>
        <v>6</v>
      </c>
      <c r="N91">
        <v>6</v>
      </c>
      <c r="R91">
        <f t="shared" si="25"/>
        <v>1</v>
      </c>
      <c r="S91">
        <f t="shared" si="26"/>
        <v>1</v>
      </c>
      <c r="T91">
        <f t="shared" si="27"/>
        <v>1</v>
      </c>
      <c r="U91">
        <f t="shared" si="28"/>
        <v>1</v>
      </c>
      <c r="V91">
        <f t="shared" si="29"/>
        <v>6</v>
      </c>
      <c r="W91">
        <v>6</v>
      </c>
      <c r="AA91">
        <f t="shared" si="30"/>
        <v>1</v>
      </c>
      <c r="AB91">
        <f t="shared" si="31"/>
        <v>1</v>
      </c>
      <c r="AC91">
        <f t="shared" si="32"/>
        <v>1</v>
      </c>
      <c r="AD91">
        <f t="shared" si="33"/>
        <v>1</v>
      </c>
    </row>
    <row r="92" spans="1:30" x14ac:dyDescent="0.2">
      <c r="A92" s="23"/>
      <c r="B92" t="s">
        <v>202</v>
      </c>
      <c r="C92">
        <f t="shared" si="18"/>
        <v>20</v>
      </c>
      <c r="D92">
        <f t="shared" si="19"/>
        <v>8</v>
      </c>
      <c r="E92">
        <v>8</v>
      </c>
      <c r="I92">
        <f t="shared" si="20"/>
        <v>1</v>
      </c>
      <c r="J92">
        <f t="shared" si="21"/>
        <v>1</v>
      </c>
      <c r="K92">
        <f t="shared" si="22"/>
        <v>1</v>
      </c>
      <c r="L92">
        <f t="shared" si="23"/>
        <v>1</v>
      </c>
      <c r="M92">
        <f t="shared" si="24"/>
        <v>6</v>
      </c>
      <c r="N92">
        <v>6</v>
      </c>
      <c r="R92">
        <f t="shared" si="25"/>
        <v>1</v>
      </c>
      <c r="S92">
        <f t="shared" si="26"/>
        <v>1</v>
      </c>
      <c r="T92">
        <f t="shared" si="27"/>
        <v>1</v>
      </c>
      <c r="U92">
        <f t="shared" si="28"/>
        <v>1</v>
      </c>
      <c r="V92">
        <f t="shared" si="29"/>
        <v>6</v>
      </c>
      <c r="W92">
        <v>6</v>
      </c>
      <c r="AA92">
        <f t="shared" si="30"/>
        <v>1</v>
      </c>
      <c r="AB92">
        <f t="shared" si="31"/>
        <v>1</v>
      </c>
      <c r="AC92">
        <f t="shared" si="32"/>
        <v>1</v>
      </c>
      <c r="AD92">
        <f t="shared" si="33"/>
        <v>1</v>
      </c>
    </row>
    <row r="93" spans="1:30" x14ac:dyDescent="0.2">
      <c r="A93" s="23"/>
      <c r="B93" t="s">
        <v>201</v>
      </c>
      <c r="C93">
        <f t="shared" si="18"/>
        <v>20</v>
      </c>
      <c r="D93">
        <f t="shared" si="19"/>
        <v>8</v>
      </c>
      <c r="E93">
        <v>8</v>
      </c>
      <c r="I93">
        <f t="shared" si="20"/>
        <v>1</v>
      </c>
      <c r="J93">
        <f t="shared" si="21"/>
        <v>1</v>
      </c>
      <c r="K93">
        <f t="shared" si="22"/>
        <v>1</v>
      </c>
      <c r="L93">
        <f t="shared" si="23"/>
        <v>1</v>
      </c>
      <c r="M93">
        <f t="shared" si="24"/>
        <v>9</v>
      </c>
      <c r="N93">
        <v>8</v>
      </c>
      <c r="P93">
        <v>1</v>
      </c>
      <c r="R93">
        <f t="shared" si="25"/>
        <v>0.88888888888888884</v>
      </c>
      <c r="S93">
        <f t="shared" si="26"/>
        <v>0.88888888888888884</v>
      </c>
      <c r="T93">
        <f t="shared" si="27"/>
        <v>1</v>
      </c>
      <c r="U93">
        <f t="shared" si="28"/>
        <v>0.94117647058823528</v>
      </c>
      <c r="V93">
        <f t="shared" si="29"/>
        <v>3</v>
      </c>
      <c r="W93">
        <v>3</v>
      </c>
      <c r="AA93">
        <f t="shared" si="30"/>
        <v>1</v>
      </c>
      <c r="AB93">
        <f t="shared" si="31"/>
        <v>1</v>
      </c>
      <c r="AC93">
        <f t="shared" si="32"/>
        <v>1</v>
      </c>
      <c r="AD93">
        <f t="shared" si="33"/>
        <v>1</v>
      </c>
    </row>
    <row r="94" spans="1:30" x14ac:dyDescent="0.2">
      <c r="A94" s="23"/>
      <c r="B94" t="s">
        <v>200</v>
      </c>
      <c r="C94">
        <f t="shared" si="18"/>
        <v>20</v>
      </c>
      <c r="D94">
        <f t="shared" si="19"/>
        <v>5</v>
      </c>
      <c r="E94">
        <v>5</v>
      </c>
      <c r="I94">
        <f t="shared" si="20"/>
        <v>1</v>
      </c>
      <c r="J94">
        <f t="shared" si="21"/>
        <v>1</v>
      </c>
      <c r="K94">
        <f t="shared" si="22"/>
        <v>1</v>
      </c>
      <c r="L94">
        <f t="shared" si="23"/>
        <v>1</v>
      </c>
      <c r="M94">
        <f t="shared" si="24"/>
        <v>5</v>
      </c>
      <c r="N94">
        <v>5</v>
      </c>
      <c r="R94">
        <f t="shared" si="25"/>
        <v>1</v>
      </c>
      <c r="S94">
        <f t="shared" si="26"/>
        <v>1</v>
      </c>
      <c r="T94">
        <f t="shared" si="27"/>
        <v>1</v>
      </c>
      <c r="U94">
        <f t="shared" si="28"/>
        <v>1</v>
      </c>
      <c r="V94">
        <f t="shared" si="29"/>
        <v>10</v>
      </c>
      <c r="W94">
        <v>10</v>
      </c>
      <c r="AA94">
        <f t="shared" si="30"/>
        <v>1</v>
      </c>
      <c r="AB94">
        <f t="shared" si="31"/>
        <v>1</v>
      </c>
      <c r="AC94">
        <f t="shared" si="32"/>
        <v>1</v>
      </c>
      <c r="AD94">
        <f t="shared" si="33"/>
        <v>1</v>
      </c>
    </row>
    <row r="95" spans="1:30" x14ac:dyDescent="0.2">
      <c r="A95" s="23"/>
      <c r="B95" t="s">
        <v>199</v>
      </c>
      <c r="C95">
        <f t="shared" si="18"/>
        <v>20</v>
      </c>
      <c r="D95">
        <f t="shared" si="19"/>
        <v>6</v>
      </c>
      <c r="E95">
        <v>6</v>
      </c>
      <c r="I95">
        <f t="shared" si="20"/>
        <v>1</v>
      </c>
      <c r="J95">
        <f t="shared" si="21"/>
        <v>1</v>
      </c>
      <c r="K95">
        <f t="shared" si="22"/>
        <v>1</v>
      </c>
      <c r="L95">
        <f t="shared" si="23"/>
        <v>1</v>
      </c>
      <c r="M95">
        <f t="shared" si="24"/>
        <v>7</v>
      </c>
      <c r="N95">
        <v>7</v>
      </c>
      <c r="R95">
        <f t="shared" si="25"/>
        <v>1</v>
      </c>
      <c r="S95">
        <f t="shared" si="26"/>
        <v>1</v>
      </c>
      <c r="T95">
        <f t="shared" si="27"/>
        <v>1</v>
      </c>
      <c r="U95">
        <f t="shared" si="28"/>
        <v>1</v>
      </c>
      <c r="V95">
        <f t="shared" si="29"/>
        <v>7</v>
      </c>
      <c r="W95">
        <v>7</v>
      </c>
      <c r="AA95">
        <f t="shared" si="30"/>
        <v>1</v>
      </c>
      <c r="AB95">
        <f t="shared" si="31"/>
        <v>1</v>
      </c>
      <c r="AC95">
        <f t="shared" si="32"/>
        <v>1</v>
      </c>
      <c r="AD95">
        <f t="shared" si="33"/>
        <v>1</v>
      </c>
    </row>
    <row r="96" spans="1:30" x14ac:dyDescent="0.2">
      <c r="A96" s="23"/>
      <c r="B96" t="s">
        <v>198</v>
      </c>
      <c r="C96">
        <f t="shared" si="18"/>
        <v>20</v>
      </c>
      <c r="D96">
        <f t="shared" si="19"/>
        <v>8</v>
      </c>
      <c r="E96">
        <v>7</v>
      </c>
      <c r="F96">
        <v>1</v>
      </c>
      <c r="I96">
        <f t="shared" si="20"/>
        <v>1</v>
      </c>
      <c r="J96">
        <f t="shared" si="21"/>
        <v>1</v>
      </c>
      <c r="K96">
        <f t="shared" si="22"/>
        <v>1</v>
      </c>
      <c r="L96">
        <f t="shared" si="23"/>
        <v>1</v>
      </c>
      <c r="M96">
        <f t="shared" si="24"/>
        <v>6</v>
      </c>
      <c r="N96">
        <v>6</v>
      </c>
      <c r="R96">
        <f t="shared" si="25"/>
        <v>1</v>
      </c>
      <c r="S96">
        <f t="shared" si="26"/>
        <v>1</v>
      </c>
      <c r="T96">
        <f t="shared" si="27"/>
        <v>1</v>
      </c>
      <c r="U96">
        <f t="shared" si="28"/>
        <v>1</v>
      </c>
      <c r="V96">
        <f t="shared" si="29"/>
        <v>6</v>
      </c>
      <c r="W96">
        <v>3</v>
      </c>
      <c r="X96">
        <v>2</v>
      </c>
      <c r="Z96">
        <v>1</v>
      </c>
      <c r="AA96">
        <f t="shared" si="30"/>
        <v>0.83333333333333337</v>
      </c>
      <c r="AB96">
        <f t="shared" si="31"/>
        <v>1</v>
      </c>
      <c r="AC96">
        <f t="shared" si="32"/>
        <v>0.75</v>
      </c>
      <c r="AD96">
        <f t="shared" si="33"/>
        <v>0.8571428571428571</v>
      </c>
    </row>
    <row r="97" spans="1:30" x14ac:dyDescent="0.2">
      <c r="A97" s="23"/>
      <c r="B97" t="s">
        <v>197</v>
      </c>
      <c r="C97">
        <f t="shared" si="18"/>
        <v>19</v>
      </c>
      <c r="D97">
        <f t="shared" si="19"/>
        <v>7</v>
      </c>
      <c r="E97">
        <v>7</v>
      </c>
      <c r="I97">
        <f t="shared" si="20"/>
        <v>1</v>
      </c>
      <c r="J97">
        <f t="shared" si="21"/>
        <v>1</v>
      </c>
      <c r="K97">
        <f t="shared" si="22"/>
        <v>1</v>
      </c>
      <c r="L97">
        <f t="shared" si="23"/>
        <v>1</v>
      </c>
      <c r="M97">
        <f t="shared" si="24"/>
        <v>7</v>
      </c>
      <c r="N97">
        <v>7</v>
      </c>
      <c r="R97">
        <f t="shared" si="25"/>
        <v>1</v>
      </c>
      <c r="S97">
        <f t="shared" si="26"/>
        <v>1</v>
      </c>
      <c r="T97">
        <f t="shared" si="27"/>
        <v>1</v>
      </c>
      <c r="U97">
        <f t="shared" si="28"/>
        <v>1</v>
      </c>
      <c r="V97">
        <f t="shared" si="29"/>
        <v>5</v>
      </c>
      <c r="W97">
        <v>4</v>
      </c>
      <c r="Y97">
        <v>1</v>
      </c>
      <c r="AA97">
        <f t="shared" si="30"/>
        <v>0.8</v>
      </c>
      <c r="AB97">
        <f t="shared" si="31"/>
        <v>0.8</v>
      </c>
      <c r="AC97">
        <f t="shared" si="32"/>
        <v>1</v>
      </c>
      <c r="AD97">
        <f t="shared" si="33"/>
        <v>0.88888888888888895</v>
      </c>
    </row>
    <row r="98" spans="1:30" x14ac:dyDescent="0.2">
      <c r="A98" s="23"/>
      <c r="B98" t="s">
        <v>196</v>
      </c>
      <c r="C98">
        <f t="shared" si="18"/>
        <v>19</v>
      </c>
      <c r="D98">
        <f t="shared" si="19"/>
        <v>6</v>
      </c>
      <c r="E98">
        <v>6</v>
      </c>
      <c r="I98">
        <f t="shared" si="20"/>
        <v>1</v>
      </c>
      <c r="J98">
        <f t="shared" si="21"/>
        <v>1</v>
      </c>
      <c r="K98">
        <f t="shared" si="22"/>
        <v>1</v>
      </c>
      <c r="L98">
        <f t="shared" si="23"/>
        <v>1</v>
      </c>
      <c r="M98">
        <f t="shared" si="24"/>
        <v>7</v>
      </c>
      <c r="N98">
        <v>6</v>
      </c>
      <c r="P98">
        <v>1</v>
      </c>
      <c r="R98">
        <f t="shared" si="25"/>
        <v>0.8571428571428571</v>
      </c>
      <c r="S98">
        <f t="shared" si="26"/>
        <v>0.8571428571428571</v>
      </c>
      <c r="T98">
        <f t="shared" si="27"/>
        <v>1</v>
      </c>
      <c r="U98">
        <f t="shared" si="28"/>
        <v>0.92307692307692302</v>
      </c>
      <c r="V98">
        <f t="shared" si="29"/>
        <v>6</v>
      </c>
      <c r="W98">
        <v>6</v>
      </c>
      <c r="AA98">
        <f t="shared" si="30"/>
        <v>1</v>
      </c>
      <c r="AB98">
        <f t="shared" si="31"/>
        <v>1</v>
      </c>
      <c r="AC98">
        <f t="shared" si="32"/>
        <v>1</v>
      </c>
      <c r="AD98">
        <f t="shared" si="33"/>
        <v>1</v>
      </c>
    </row>
    <row r="99" spans="1:30" x14ac:dyDescent="0.2">
      <c r="A99" s="23"/>
      <c r="B99" t="s">
        <v>195</v>
      </c>
      <c r="C99">
        <f t="shared" si="18"/>
        <v>20</v>
      </c>
      <c r="D99">
        <f t="shared" si="19"/>
        <v>10</v>
      </c>
      <c r="E99">
        <v>10</v>
      </c>
      <c r="I99">
        <f t="shared" si="20"/>
        <v>1</v>
      </c>
      <c r="J99">
        <f t="shared" si="21"/>
        <v>1</v>
      </c>
      <c r="K99">
        <f t="shared" si="22"/>
        <v>1</v>
      </c>
      <c r="L99">
        <f t="shared" si="23"/>
        <v>1</v>
      </c>
      <c r="M99">
        <f t="shared" si="24"/>
        <v>2</v>
      </c>
      <c r="N99">
        <v>2</v>
      </c>
      <c r="R99">
        <f t="shared" si="25"/>
        <v>1</v>
      </c>
      <c r="S99">
        <f t="shared" si="26"/>
        <v>1</v>
      </c>
      <c r="T99">
        <f t="shared" si="27"/>
        <v>1</v>
      </c>
      <c r="U99">
        <f t="shared" si="28"/>
        <v>1</v>
      </c>
      <c r="V99">
        <f t="shared" si="29"/>
        <v>8</v>
      </c>
      <c r="W99">
        <v>7</v>
      </c>
      <c r="Y99">
        <v>1</v>
      </c>
      <c r="AA99">
        <f t="shared" si="30"/>
        <v>0.875</v>
      </c>
      <c r="AB99">
        <f t="shared" si="31"/>
        <v>0.875</v>
      </c>
      <c r="AC99">
        <f t="shared" si="32"/>
        <v>1</v>
      </c>
      <c r="AD99">
        <f t="shared" si="33"/>
        <v>0.93333333333333335</v>
      </c>
    </row>
    <row r="100" spans="1:30" x14ac:dyDescent="0.2">
      <c r="A100" s="23"/>
      <c r="B100" t="s">
        <v>194</v>
      </c>
      <c r="C100">
        <f t="shared" si="18"/>
        <v>19</v>
      </c>
      <c r="D100">
        <f t="shared" si="19"/>
        <v>6</v>
      </c>
      <c r="E100">
        <v>5</v>
      </c>
      <c r="G100">
        <v>1</v>
      </c>
      <c r="I100">
        <f t="shared" si="20"/>
        <v>0.83333333333333337</v>
      </c>
      <c r="J100">
        <f t="shared" si="21"/>
        <v>0.83333333333333337</v>
      </c>
      <c r="K100">
        <f t="shared" si="22"/>
        <v>1</v>
      </c>
      <c r="L100">
        <f t="shared" si="23"/>
        <v>0.90909090909090906</v>
      </c>
      <c r="M100">
        <f t="shared" si="24"/>
        <v>7</v>
      </c>
      <c r="N100">
        <v>7</v>
      </c>
      <c r="R100">
        <f t="shared" si="25"/>
        <v>1</v>
      </c>
      <c r="S100">
        <f t="shared" si="26"/>
        <v>1</v>
      </c>
      <c r="T100">
        <f t="shared" si="27"/>
        <v>1</v>
      </c>
      <c r="U100">
        <f t="shared" si="28"/>
        <v>1</v>
      </c>
      <c r="V100">
        <f t="shared" si="29"/>
        <v>6</v>
      </c>
      <c r="W100">
        <v>6</v>
      </c>
      <c r="AA100">
        <f t="shared" si="30"/>
        <v>1</v>
      </c>
      <c r="AB100">
        <f t="shared" si="31"/>
        <v>1</v>
      </c>
      <c r="AC100">
        <f t="shared" si="32"/>
        <v>1</v>
      </c>
      <c r="AD100">
        <f t="shared" si="33"/>
        <v>1</v>
      </c>
    </row>
    <row r="101" spans="1:30" x14ac:dyDescent="0.2">
      <c r="A101" s="23"/>
      <c r="B101" t="s">
        <v>193</v>
      </c>
      <c r="C101">
        <f t="shared" si="18"/>
        <v>20</v>
      </c>
      <c r="D101">
        <f t="shared" si="19"/>
        <v>7</v>
      </c>
      <c r="E101">
        <v>7</v>
      </c>
      <c r="I101">
        <f t="shared" si="20"/>
        <v>1</v>
      </c>
      <c r="J101">
        <f t="shared" si="21"/>
        <v>1</v>
      </c>
      <c r="K101">
        <f t="shared" si="22"/>
        <v>1</v>
      </c>
      <c r="L101">
        <f t="shared" si="23"/>
        <v>1</v>
      </c>
      <c r="M101">
        <f t="shared" si="24"/>
        <v>5</v>
      </c>
      <c r="N101">
        <v>5</v>
      </c>
      <c r="R101">
        <f t="shared" si="25"/>
        <v>1</v>
      </c>
      <c r="S101">
        <f t="shared" si="26"/>
        <v>1</v>
      </c>
      <c r="T101">
        <f t="shared" si="27"/>
        <v>1</v>
      </c>
      <c r="U101">
        <f t="shared" si="28"/>
        <v>1</v>
      </c>
      <c r="V101">
        <f t="shared" si="29"/>
        <v>8</v>
      </c>
      <c r="W101">
        <v>7</v>
      </c>
      <c r="Y101">
        <v>1</v>
      </c>
      <c r="AA101">
        <f t="shared" si="30"/>
        <v>0.875</v>
      </c>
      <c r="AB101">
        <f t="shared" si="31"/>
        <v>0.875</v>
      </c>
      <c r="AC101">
        <f t="shared" si="32"/>
        <v>1</v>
      </c>
      <c r="AD101">
        <f t="shared" si="33"/>
        <v>0.93333333333333335</v>
      </c>
    </row>
    <row r="102" spans="1:30" x14ac:dyDescent="0.2">
      <c r="A102" s="23"/>
      <c r="B102" t="s">
        <v>192</v>
      </c>
      <c r="C102">
        <f t="shared" si="18"/>
        <v>20</v>
      </c>
      <c r="D102">
        <f t="shared" si="19"/>
        <v>6</v>
      </c>
      <c r="E102">
        <v>5</v>
      </c>
      <c r="G102">
        <v>1</v>
      </c>
      <c r="I102">
        <f t="shared" si="20"/>
        <v>0.83333333333333337</v>
      </c>
      <c r="J102">
        <f t="shared" si="21"/>
        <v>0.83333333333333337</v>
      </c>
      <c r="K102">
        <f t="shared" si="22"/>
        <v>1</v>
      </c>
      <c r="L102">
        <f t="shared" si="23"/>
        <v>0.90909090909090906</v>
      </c>
      <c r="M102">
        <f t="shared" si="24"/>
        <v>3</v>
      </c>
      <c r="N102">
        <v>3</v>
      </c>
      <c r="R102">
        <f t="shared" si="25"/>
        <v>1</v>
      </c>
      <c r="S102">
        <f t="shared" si="26"/>
        <v>1</v>
      </c>
      <c r="T102">
        <f t="shared" si="27"/>
        <v>1</v>
      </c>
      <c r="U102">
        <f t="shared" si="28"/>
        <v>1</v>
      </c>
      <c r="V102">
        <f t="shared" si="29"/>
        <v>11</v>
      </c>
      <c r="W102">
        <v>11</v>
      </c>
      <c r="AA102">
        <f t="shared" si="30"/>
        <v>1</v>
      </c>
      <c r="AB102">
        <f t="shared" si="31"/>
        <v>1</v>
      </c>
      <c r="AC102">
        <f t="shared" si="32"/>
        <v>1</v>
      </c>
      <c r="AD102">
        <f t="shared" si="33"/>
        <v>1</v>
      </c>
    </row>
    <row r="103" spans="1:30" x14ac:dyDescent="0.2">
      <c r="A103" s="23"/>
      <c r="B103" t="s">
        <v>191</v>
      </c>
      <c r="C103">
        <f t="shared" si="18"/>
        <v>20</v>
      </c>
      <c r="D103">
        <f t="shared" si="19"/>
        <v>8</v>
      </c>
      <c r="E103">
        <v>8</v>
      </c>
      <c r="I103">
        <f t="shared" si="20"/>
        <v>1</v>
      </c>
      <c r="J103">
        <f t="shared" si="21"/>
        <v>1</v>
      </c>
      <c r="K103">
        <f t="shared" si="22"/>
        <v>1</v>
      </c>
      <c r="L103">
        <f t="shared" si="23"/>
        <v>1</v>
      </c>
      <c r="M103">
        <f t="shared" si="24"/>
        <v>6</v>
      </c>
      <c r="N103">
        <v>5</v>
      </c>
      <c r="P103">
        <v>1</v>
      </c>
      <c r="R103">
        <f t="shared" si="25"/>
        <v>0.83333333333333337</v>
      </c>
      <c r="S103">
        <f t="shared" si="26"/>
        <v>0.83333333333333337</v>
      </c>
      <c r="T103">
        <f t="shared" si="27"/>
        <v>1</v>
      </c>
      <c r="U103">
        <f t="shared" si="28"/>
        <v>0.90909090909090906</v>
      </c>
      <c r="V103">
        <f t="shared" si="29"/>
        <v>6</v>
      </c>
      <c r="W103">
        <v>6</v>
      </c>
      <c r="AA103">
        <f t="shared" si="30"/>
        <v>1</v>
      </c>
      <c r="AB103">
        <f t="shared" si="31"/>
        <v>1</v>
      </c>
      <c r="AC103">
        <f t="shared" si="32"/>
        <v>1</v>
      </c>
      <c r="AD103">
        <f t="shared" si="33"/>
        <v>1</v>
      </c>
    </row>
    <row r="104" spans="1:30" x14ac:dyDescent="0.2">
      <c r="A104" s="23"/>
      <c r="B104" t="s">
        <v>190</v>
      </c>
      <c r="C104">
        <f t="shared" si="18"/>
        <v>20</v>
      </c>
      <c r="D104">
        <f t="shared" si="19"/>
        <v>8</v>
      </c>
      <c r="E104">
        <v>8</v>
      </c>
      <c r="I104">
        <f t="shared" si="20"/>
        <v>1</v>
      </c>
      <c r="J104">
        <f t="shared" si="21"/>
        <v>1</v>
      </c>
      <c r="K104">
        <f t="shared" si="22"/>
        <v>1</v>
      </c>
      <c r="L104">
        <f t="shared" si="23"/>
        <v>1</v>
      </c>
      <c r="M104">
        <f t="shared" si="24"/>
        <v>2</v>
      </c>
      <c r="N104">
        <v>2</v>
      </c>
      <c r="R104">
        <f t="shared" si="25"/>
        <v>1</v>
      </c>
      <c r="S104">
        <f t="shared" si="26"/>
        <v>1</v>
      </c>
      <c r="T104">
        <f t="shared" si="27"/>
        <v>1</v>
      </c>
      <c r="U104">
        <f t="shared" si="28"/>
        <v>1</v>
      </c>
      <c r="V104">
        <f t="shared" si="29"/>
        <v>10</v>
      </c>
      <c r="W104">
        <v>10</v>
      </c>
      <c r="AA104">
        <f t="shared" si="30"/>
        <v>1</v>
      </c>
      <c r="AB104">
        <f t="shared" si="31"/>
        <v>1</v>
      </c>
      <c r="AC104">
        <f t="shared" si="32"/>
        <v>1</v>
      </c>
      <c r="AD104">
        <f t="shared" si="33"/>
        <v>1</v>
      </c>
    </row>
    <row r="105" spans="1:30" x14ac:dyDescent="0.2">
      <c r="A105" s="23"/>
      <c r="B105" t="s">
        <v>189</v>
      </c>
      <c r="C105">
        <f t="shared" si="18"/>
        <v>20</v>
      </c>
      <c r="D105">
        <f t="shared" si="19"/>
        <v>9</v>
      </c>
      <c r="E105">
        <v>9</v>
      </c>
      <c r="I105">
        <f t="shared" si="20"/>
        <v>1</v>
      </c>
      <c r="J105">
        <f t="shared" si="21"/>
        <v>1</v>
      </c>
      <c r="K105">
        <f t="shared" si="22"/>
        <v>1</v>
      </c>
      <c r="L105">
        <f t="shared" si="23"/>
        <v>1</v>
      </c>
      <c r="M105">
        <f t="shared" si="24"/>
        <v>5</v>
      </c>
      <c r="N105">
        <v>3</v>
      </c>
      <c r="P105">
        <v>1</v>
      </c>
      <c r="Q105">
        <v>1</v>
      </c>
      <c r="R105">
        <f t="shared" si="25"/>
        <v>0.6</v>
      </c>
      <c r="S105">
        <f t="shared" si="26"/>
        <v>0.75</v>
      </c>
      <c r="T105">
        <f t="shared" si="27"/>
        <v>0.75</v>
      </c>
      <c r="U105">
        <f t="shared" si="28"/>
        <v>0.75</v>
      </c>
      <c r="V105">
        <f t="shared" si="29"/>
        <v>6</v>
      </c>
      <c r="W105">
        <v>6</v>
      </c>
      <c r="AA105">
        <f t="shared" si="30"/>
        <v>1</v>
      </c>
      <c r="AB105">
        <f t="shared" si="31"/>
        <v>1</v>
      </c>
      <c r="AC105">
        <f t="shared" si="32"/>
        <v>1</v>
      </c>
      <c r="AD105">
        <f t="shared" si="33"/>
        <v>1</v>
      </c>
    </row>
    <row r="106" spans="1:30" x14ac:dyDescent="0.2">
      <c r="A106" s="23"/>
      <c r="B106" t="s">
        <v>188</v>
      </c>
      <c r="C106">
        <f t="shared" si="18"/>
        <v>20</v>
      </c>
      <c r="D106">
        <f t="shared" si="19"/>
        <v>9</v>
      </c>
      <c r="E106">
        <v>9</v>
      </c>
      <c r="I106">
        <f t="shared" si="20"/>
        <v>1</v>
      </c>
      <c r="J106">
        <f t="shared" si="21"/>
        <v>1</v>
      </c>
      <c r="K106">
        <f t="shared" si="22"/>
        <v>1</v>
      </c>
      <c r="L106">
        <f t="shared" si="23"/>
        <v>1</v>
      </c>
      <c r="M106">
        <f t="shared" si="24"/>
        <v>5</v>
      </c>
      <c r="N106">
        <v>5</v>
      </c>
      <c r="R106">
        <f t="shared" si="25"/>
        <v>1</v>
      </c>
      <c r="S106">
        <f t="shared" si="26"/>
        <v>1</v>
      </c>
      <c r="T106">
        <f t="shared" si="27"/>
        <v>1</v>
      </c>
      <c r="U106">
        <f t="shared" si="28"/>
        <v>1</v>
      </c>
      <c r="V106">
        <f t="shared" si="29"/>
        <v>6</v>
      </c>
      <c r="W106">
        <v>6</v>
      </c>
      <c r="AA106">
        <f t="shared" si="30"/>
        <v>1</v>
      </c>
      <c r="AB106">
        <f t="shared" si="31"/>
        <v>1</v>
      </c>
      <c r="AC106">
        <f t="shared" si="32"/>
        <v>1</v>
      </c>
      <c r="AD106">
        <f t="shared" si="33"/>
        <v>1</v>
      </c>
    </row>
    <row r="107" spans="1:30" x14ac:dyDescent="0.2">
      <c r="A107" s="23"/>
      <c r="B107" t="s">
        <v>187</v>
      </c>
      <c r="C107">
        <f t="shared" si="18"/>
        <v>20</v>
      </c>
      <c r="D107">
        <f t="shared" si="19"/>
        <v>8</v>
      </c>
      <c r="E107">
        <v>8</v>
      </c>
      <c r="I107">
        <f t="shared" si="20"/>
        <v>1</v>
      </c>
      <c r="J107">
        <f t="shared" si="21"/>
        <v>1</v>
      </c>
      <c r="K107">
        <f t="shared" si="22"/>
        <v>1</v>
      </c>
      <c r="L107">
        <f t="shared" si="23"/>
        <v>1</v>
      </c>
      <c r="M107">
        <f t="shared" si="24"/>
        <v>6</v>
      </c>
      <c r="N107">
        <v>6</v>
      </c>
      <c r="R107">
        <f t="shared" si="25"/>
        <v>1</v>
      </c>
      <c r="S107">
        <f t="shared" si="26"/>
        <v>1</v>
      </c>
      <c r="T107">
        <f t="shared" si="27"/>
        <v>1</v>
      </c>
      <c r="U107">
        <f t="shared" si="28"/>
        <v>1</v>
      </c>
      <c r="V107">
        <f t="shared" si="29"/>
        <v>6</v>
      </c>
      <c r="W107">
        <v>6</v>
      </c>
      <c r="AA107">
        <f t="shared" si="30"/>
        <v>1</v>
      </c>
      <c r="AB107">
        <f t="shared" si="31"/>
        <v>1</v>
      </c>
      <c r="AC107">
        <f t="shared" si="32"/>
        <v>1</v>
      </c>
      <c r="AD107">
        <f t="shared" si="33"/>
        <v>1</v>
      </c>
    </row>
    <row r="108" spans="1:30" x14ac:dyDescent="0.2">
      <c r="A108" s="23"/>
      <c r="B108" t="s">
        <v>186</v>
      </c>
      <c r="C108">
        <f t="shared" si="18"/>
        <v>20</v>
      </c>
      <c r="D108">
        <f t="shared" si="19"/>
        <v>6</v>
      </c>
      <c r="E108">
        <v>4</v>
      </c>
      <c r="F108">
        <v>1</v>
      </c>
      <c r="G108">
        <v>1</v>
      </c>
      <c r="I108">
        <f t="shared" si="20"/>
        <v>0.83333333333333337</v>
      </c>
      <c r="J108">
        <f t="shared" si="21"/>
        <v>0.8</v>
      </c>
      <c r="K108">
        <f t="shared" si="22"/>
        <v>1</v>
      </c>
      <c r="L108">
        <f t="shared" si="23"/>
        <v>0.88888888888888895</v>
      </c>
      <c r="M108">
        <f t="shared" si="24"/>
        <v>5</v>
      </c>
      <c r="N108">
        <v>5</v>
      </c>
      <c r="R108">
        <f t="shared" si="25"/>
        <v>1</v>
      </c>
      <c r="S108">
        <f t="shared" si="26"/>
        <v>1</v>
      </c>
      <c r="T108">
        <f t="shared" si="27"/>
        <v>1</v>
      </c>
      <c r="U108">
        <f t="shared" si="28"/>
        <v>1</v>
      </c>
      <c r="V108">
        <f t="shared" si="29"/>
        <v>9</v>
      </c>
      <c r="W108">
        <v>9</v>
      </c>
      <c r="AA108">
        <f t="shared" si="30"/>
        <v>1</v>
      </c>
      <c r="AB108">
        <f t="shared" si="31"/>
        <v>1</v>
      </c>
      <c r="AC108">
        <f t="shared" si="32"/>
        <v>1</v>
      </c>
      <c r="AD108">
        <f t="shared" si="33"/>
        <v>1</v>
      </c>
    </row>
    <row r="109" spans="1:30" x14ac:dyDescent="0.2">
      <c r="A109" s="23"/>
      <c r="B109" t="s">
        <v>185</v>
      </c>
      <c r="C109">
        <f t="shared" si="18"/>
        <v>20</v>
      </c>
      <c r="D109">
        <f t="shared" si="19"/>
        <v>9</v>
      </c>
      <c r="E109">
        <v>8</v>
      </c>
      <c r="G109">
        <v>1</v>
      </c>
      <c r="I109">
        <f t="shared" si="20"/>
        <v>0.88888888888888884</v>
      </c>
      <c r="J109">
        <f t="shared" si="21"/>
        <v>0.88888888888888884</v>
      </c>
      <c r="K109">
        <f t="shared" si="22"/>
        <v>1</v>
      </c>
      <c r="L109">
        <f t="shared" si="23"/>
        <v>0.94117647058823528</v>
      </c>
      <c r="M109">
        <f t="shared" si="24"/>
        <v>6</v>
      </c>
      <c r="N109">
        <v>6</v>
      </c>
      <c r="R109">
        <f t="shared" si="25"/>
        <v>1</v>
      </c>
      <c r="S109">
        <f t="shared" si="26"/>
        <v>1</v>
      </c>
      <c r="T109">
        <f t="shared" si="27"/>
        <v>1</v>
      </c>
      <c r="U109">
        <f t="shared" si="28"/>
        <v>1</v>
      </c>
      <c r="V109">
        <f t="shared" si="29"/>
        <v>5</v>
      </c>
      <c r="W109">
        <v>5</v>
      </c>
      <c r="AA109">
        <f t="shared" si="30"/>
        <v>1</v>
      </c>
      <c r="AB109">
        <f t="shared" si="31"/>
        <v>1</v>
      </c>
      <c r="AC109">
        <f t="shared" si="32"/>
        <v>1</v>
      </c>
      <c r="AD109">
        <f t="shared" si="33"/>
        <v>1</v>
      </c>
    </row>
    <row r="110" spans="1:30" x14ac:dyDescent="0.2">
      <c r="A110" s="23"/>
      <c r="B110" t="s">
        <v>184</v>
      </c>
      <c r="C110">
        <f t="shared" si="18"/>
        <v>20</v>
      </c>
      <c r="D110">
        <f t="shared" si="19"/>
        <v>7</v>
      </c>
      <c r="E110">
        <v>7</v>
      </c>
      <c r="I110">
        <f t="shared" si="20"/>
        <v>1</v>
      </c>
      <c r="J110">
        <f t="shared" si="21"/>
        <v>1</v>
      </c>
      <c r="K110">
        <f t="shared" si="22"/>
        <v>1</v>
      </c>
      <c r="L110">
        <f t="shared" si="23"/>
        <v>1</v>
      </c>
      <c r="M110">
        <f t="shared" si="24"/>
        <v>7</v>
      </c>
      <c r="N110">
        <v>7</v>
      </c>
      <c r="R110">
        <f t="shared" si="25"/>
        <v>1</v>
      </c>
      <c r="S110">
        <f t="shared" si="26"/>
        <v>1</v>
      </c>
      <c r="T110">
        <f t="shared" si="27"/>
        <v>1</v>
      </c>
      <c r="U110">
        <f t="shared" si="28"/>
        <v>1</v>
      </c>
      <c r="V110">
        <f t="shared" si="29"/>
        <v>6</v>
      </c>
      <c r="W110">
        <v>6</v>
      </c>
      <c r="AA110">
        <f t="shared" si="30"/>
        <v>1</v>
      </c>
      <c r="AB110">
        <f t="shared" si="31"/>
        <v>1</v>
      </c>
      <c r="AC110">
        <f t="shared" si="32"/>
        <v>1</v>
      </c>
      <c r="AD110">
        <f t="shared" si="33"/>
        <v>1</v>
      </c>
    </row>
    <row r="111" spans="1:30" x14ac:dyDescent="0.2">
      <c r="A111" s="23"/>
      <c r="B111" s="8" t="s">
        <v>183</v>
      </c>
      <c r="C111" s="8">
        <f t="shared" si="18"/>
        <v>0</v>
      </c>
      <c r="D111" s="8">
        <f t="shared" si="19"/>
        <v>0</v>
      </c>
      <c r="E111" s="8"/>
      <c r="F111" s="8"/>
      <c r="G111" s="8"/>
      <c r="H111" s="8"/>
      <c r="I111" t="e">
        <f t="shared" si="20"/>
        <v>#DIV/0!</v>
      </c>
      <c r="J111" t="e">
        <f t="shared" si="21"/>
        <v>#DIV/0!</v>
      </c>
      <c r="K111" t="e">
        <f t="shared" si="22"/>
        <v>#DIV/0!</v>
      </c>
      <c r="L111" t="e">
        <f t="shared" si="23"/>
        <v>#DIV/0!</v>
      </c>
      <c r="M111" s="8">
        <f t="shared" si="24"/>
        <v>0</v>
      </c>
      <c r="N111" s="8"/>
      <c r="O111" s="8"/>
      <c r="P111" s="8"/>
      <c r="Q111" s="8"/>
      <c r="R111" t="e">
        <f t="shared" si="25"/>
        <v>#DIV/0!</v>
      </c>
      <c r="S111" t="e">
        <f t="shared" si="26"/>
        <v>#DIV/0!</v>
      </c>
      <c r="T111" t="e">
        <f t="shared" si="27"/>
        <v>#DIV/0!</v>
      </c>
      <c r="U111" t="e">
        <f t="shared" si="28"/>
        <v>#DIV/0!</v>
      </c>
      <c r="V111" s="8">
        <f t="shared" si="29"/>
        <v>0</v>
      </c>
      <c r="W111" s="8"/>
      <c r="X111" s="8"/>
      <c r="Y111" s="8"/>
      <c r="Z111" s="8"/>
      <c r="AA111" t="e">
        <f t="shared" si="30"/>
        <v>#DIV/0!</v>
      </c>
      <c r="AB111" t="e">
        <f t="shared" si="31"/>
        <v>#DIV/0!</v>
      </c>
      <c r="AC111" t="e">
        <f t="shared" si="32"/>
        <v>#DIV/0!</v>
      </c>
      <c r="AD111" t="e">
        <f t="shared" si="33"/>
        <v>#DIV/0!</v>
      </c>
    </row>
    <row r="112" spans="1:30" x14ac:dyDescent="0.2">
      <c r="A112" s="23"/>
      <c r="B112" t="s">
        <v>182</v>
      </c>
      <c r="C112">
        <f t="shared" si="18"/>
        <v>20</v>
      </c>
      <c r="D112">
        <f t="shared" si="19"/>
        <v>8</v>
      </c>
      <c r="E112">
        <v>8</v>
      </c>
      <c r="I112">
        <f t="shared" si="20"/>
        <v>1</v>
      </c>
      <c r="J112">
        <f t="shared" si="21"/>
        <v>1</v>
      </c>
      <c r="K112">
        <f t="shared" si="22"/>
        <v>1</v>
      </c>
      <c r="L112">
        <f t="shared" si="23"/>
        <v>1</v>
      </c>
      <c r="M112">
        <f t="shared" si="24"/>
        <v>6</v>
      </c>
      <c r="N112">
        <v>6</v>
      </c>
      <c r="R112">
        <f t="shared" si="25"/>
        <v>1</v>
      </c>
      <c r="S112">
        <f t="shared" si="26"/>
        <v>1</v>
      </c>
      <c r="T112">
        <f t="shared" si="27"/>
        <v>1</v>
      </c>
      <c r="U112">
        <f t="shared" si="28"/>
        <v>1</v>
      </c>
      <c r="V112">
        <f t="shared" si="29"/>
        <v>6</v>
      </c>
      <c r="W112">
        <v>6</v>
      </c>
      <c r="AA112">
        <f t="shared" si="30"/>
        <v>1</v>
      </c>
      <c r="AB112">
        <f t="shared" si="31"/>
        <v>1</v>
      </c>
      <c r="AC112">
        <f t="shared" si="32"/>
        <v>1</v>
      </c>
      <c r="AD112">
        <f t="shared" si="33"/>
        <v>1</v>
      </c>
    </row>
    <row r="113" spans="1:30" x14ac:dyDescent="0.2">
      <c r="A113" s="23"/>
      <c r="B113" s="8" t="s">
        <v>181</v>
      </c>
      <c r="C113" s="8">
        <f t="shared" si="18"/>
        <v>0</v>
      </c>
      <c r="D113" s="8">
        <f t="shared" si="19"/>
        <v>0</v>
      </c>
      <c r="E113" s="8"/>
      <c r="F113" s="8"/>
      <c r="G113" s="8"/>
      <c r="H113" s="8"/>
      <c r="I113" t="e">
        <f t="shared" si="20"/>
        <v>#DIV/0!</v>
      </c>
      <c r="J113" t="e">
        <f t="shared" si="21"/>
        <v>#DIV/0!</v>
      </c>
      <c r="K113" t="e">
        <f t="shared" si="22"/>
        <v>#DIV/0!</v>
      </c>
      <c r="L113" t="e">
        <f t="shared" si="23"/>
        <v>#DIV/0!</v>
      </c>
      <c r="M113" s="8">
        <f t="shared" si="24"/>
        <v>0</v>
      </c>
      <c r="N113" s="8"/>
      <c r="O113" s="8"/>
      <c r="P113" s="8"/>
      <c r="Q113" s="8"/>
      <c r="R113" t="e">
        <f t="shared" si="25"/>
        <v>#DIV/0!</v>
      </c>
      <c r="S113" t="e">
        <f t="shared" si="26"/>
        <v>#DIV/0!</v>
      </c>
      <c r="T113" t="e">
        <f t="shared" si="27"/>
        <v>#DIV/0!</v>
      </c>
      <c r="U113" t="e">
        <f t="shared" si="28"/>
        <v>#DIV/0!</v>
      </c>
      <c r="V113" s="8">
        <f t="shared" si="29"/>
        <v>0</v>
      </c>
      <c r="W113" s="8"/>
      <c r="X113" s="8"/>
      <c r="Y113" s="8"/>
      <c r="Z113" s="8"/>
      <c r="AA113" t="e">
        <f t="shared" si="30"/>
        <v>#DIV/0!</v>
      </c>
      <c r="AB113" t="e">
        <f t="shared" si="31"/>
        <v>#DIV/0!</v>
      </c>
      <c r="AC113" t="e">
        <f t="shared" si="32"/>
        <v>#DIV/0!</v>
      </c>
      <c r="AD113" t="e">
        <f t="shared" si="33"/>
        <v>#DIV/0!</v>
      </c>
    </row>
    <row r="114" spans="1:30" x14ac:dyDescent="0.2">
      <c r="A114" s="23"/>
      <c r="B114" t="s">
        <v>180</v>
      </c>
      <c r="C114">
        <f t="shared" si="18"/>
        <v>10</v>
      </c>
      <c r="D114">
        <f t="shared" si="19"/>
        <v>0</v>
      </c>
      <c r="E114">
        <v>0</v>
      </c>
      <c r="F114">
        <v>0</v>
      </c>
      <c r="G114">
        <v>0</v>
      </c>
      <c r="H114">
        <v>0</v>
      </c>
      <c r="I114" t="e">
        <f t="shared" si="20"/>
        <v>#DIV/0!</v>
      </c>
      <c r="J114" t="e">
        <f t="shared" si="21"/>
        <v>#DIV/0!</v>
      </c>
      <c r="K114" t="e">
        <f t="shared" si="22"/>
        <v>#DIV/0!</v>
      </c>
      <c r="L114" t="e">
        <f t="shared" si="23"/>
        <v>#DIV/0!</v>
      </c>
      <c r="M114">
        <f t="shared" si="24"/>
        <v>0</v>
      </c>
      <c r="N114">
        <v>0</v>
      </c>
      <c r="O114">
        <v>0</v>
      </c>
      <c r="P114">
        <v>0</v>
      </c>
      <c r="Q114">
        <v>0</v>
      </c>
      <c r="R114" t="e">
        <f t="shared" si="25"/>
        <v>#DIV/0!</v>
      </c>
      <c r="S114" t="e">
        <f t="shared" si="26"/>
        <v>#DIV/0!</v>
      </c>
      <c r="T114" t="e">
        <f t="shared" si="27"/>
        <v>#DIV/0!</v>
      </c>
      <c r="U114" t="e">
        <f t="shared" si="28"/>
        <v>#DIV/0!</v>
      </c>
      <c r="V114">
        <f t="shared" si="29"/>
        <v>10</v>
      </c>
      <c r="W114">
        <v>3</v>
      </c>
      <c r="Y114">
        <v>5</v>
      </c>
      <c r="Z114">
        <v>2</v>
      </c>
      <c r="AA114">
        <f t="shared" si="30"/>
        <v>0.3</v>
      </c>
      <c r="AB114">
        <f t="shared" si="31"/>
        <v>0.375</v>
      </c>
      <c r="AC114">
        <f t="shared" si="32"/>
        <v>0.6</v>
      </c>
      <c r="AD114">
        <f t="shared" si="33"/>
        <v>0.46153846153846151</v>
      </c>
    </row>
    <row r="115" spans="1:30" x14ac:dyDescent="0.2">
      <c r="A115" s="23"/>
      <c r="B115" t="s">
        <v>179</v>
      </c>
      <c r="C115">
        <f t="shared" si="18"/>
        <v>20</v>
      </c>
      <c r="D115">
        <f t="shared" si="19"/>
        <v>8</v>
      </c>
      <c r="E115">
        <v>6</v>
      </c>
      <c r="F115">
        <v>1</v>
      </c>
      <c r="G115">
        <v>1</v>
      </c>
      <c r="I115">
        <f t="shared" si="20"/>
        <v>0.875</v>
      </c>
      <c r="J115">
        <f t="shared" si="21"/>
        <v>0.8571428571428571</v>
      </c>
      <c r="K115">
        <f t="shared" si="22"/>
        <v>1</v>
      </c>
      <c r="L115">
        <f t="shared" si="23"/>
        <v>0.92307692307692302</v>
      </c>
      <c r="M115">
        <f t="shared" si="24"/>
        <v>5</v>
      </c>
      <c r="N115">
        <v>5</v>
      </c>
      <c r="R115">
        <f t="shared" si="25"/>
        <v>1</v>
      </c>
      <c r="S115">
        <f t="shared" si="26"/>
        <v>1</v>
      </c>
      <c r="T115">
        <f t="shared" si="27"/>
        <v>1</v>
      </c>
      <c r="U115">
        <f t="shared" si="28"/>
        <v>1</v>
      </c>
      <c r="V115">
        <f t="shared" si="29"/>
        <v>7</v>
      </c>
      <c r="W115">
        <v>7</v>
      </c>
      <c r="AA115">
        <f t="shared" si="30"/>
        <v>1</v>
      </c>
      <c r="AB115">
        <f t="shared" si="31"/>
        <v>1</v>
      </c>
      <c r="AC115">
        <f t="shared" si="32"/>
        <v>1</v>
      </c>
      <c r="AD115">
        <f t="shared" si="33"/>
        <v>1</v>
      </c>
    </row>
    <row r="116" spans="1:30" x14ac:dyDescent="0.2">
      <c r="A116" s="23"/>
      <c r="B116" t="s">
        <v>178</v>
      </c>
      <c r="C116">
        <f t="shared" si="18"/>
        <v>20</v>
      </c>
      <c r="D116">
        <f t="shared" si="19"/>
        <v>7</v>
      </c>
      <c r="E116">
        <v>6</v>
      </c>
      <c r="G116">
        <v>1</v>
      </c>
      <c r="I116">
        <f t="shared" si="20"/>
        <v>0.8571428571428571</v>
      </c>
      <c r="J116">
        <f t="shared" si="21"/>
        <v>0.8571428571428571</v>
      </c>
      <c r="K116">
        <f t="shared" si="22"/>
        <v>1</v>
      </c>
      <c r="L116">
        <f t="shared" si="23"/>
        <v>0.92307692307692302</v>
      </c>
      <c r="M116">
        <f t="shared" si="24"/>
        <v>6</v>
      </c>
      <c r="N116">
        <v>6</v>
      </c>
      <c r="R116">
        <f t="shared" si="25"/>
        <v>1</v>
      </c>
      <c r="S116">
        <f t="shared" si="26"/>
        <v>1</v>
      </c>
      <c r="T116">
        <f t="shared" si="27"/>
        <v>1</v>
      </c>
      <c r="U116">
        <f t="shared" si="28"/>
        <v>1</v>
      </c>
      <c r="V116">
        <f t="shared" si="29"/>
        <v>7</v>
      </c>
      <c r="W116">
        <v>7</v>
      </c>
      <c r="AA116">
        <f t="shared" si="30"/>
        <v>1</v>
      </c>
      <c r="AB116">
        <f t="shared" si="31"/>
        <v>1</v>
      </c>
      <c r="AC116">
        <f t="shared" si="32"/>
        <v>1</v>
      </c>
      <c r="AD116">
        <f t="shared" si="33"/>
        <v>1</v>
      </c>
    </row>
    <row r="117" spans="1:30" x14ac:dyDescent="0.2">
      <c r="A117" s="23"/>
      <c r="B117" t="s">
        <v>177</v>
      </c>
      <c r="C117">
        <f t="shared" si="18"/>
        <v>20</v>
      </c>
      <c r="D117">
        <f t="shared" si="19"/>
        <v>9</v>
      </c>
      <c r="E117">
        <v>9</v>
      </c>
      <c r="I117">
        <f t="shared" si="20"/>
        <v>1</v>
      </c>
      <c r="J117">
        <f t="shared" si="21"/>
        <v>1</v>
      </c>
      <c r="K117">
        <f t="shared" si="22"/>
        <v>1</v>
      </c>
      <c r="L117">
        <f t="shared" si="23"/>
        <v>1</v>
      </c>
      <c r="M117">
        <f t="shared" si="24"/>
        <v>0</v>
      </c>
      <c r="N117">
        <v>0</v>
      </c>
      <c r="O117">
        <v>0</v>
      </c>
      <c r="P117">
        <v>0</v>
      </c>
      <c r="Q117">
        <v>0</v>
      </c>
      <c r="R117" t="e">
        <f t="shared" si="25"/>
        <v>#DIV/0!</v>
      </c>
      <c r="S117" t="e">
        <f t="shared" si="26"/>
        <v>#DIV/0!</v>
      </c>
      <c r="T117" t="e">
        <f t="shared" si="27"/>
        <v>#DIV/0!</v>
      </c>
      <c r="U117" t="e">
        <f t="shared" si="28"/>
        <v>#DIV/0!</v>
      </c>
      <c r="V117">
        <f t="shared" si="29"/>
        <v>11</v>
      </c>
      <c r="W117">
        <v>11</v>
      </c>
      <c r="AA117">
        <f t="shared" si="30"/>
        <v>1</v>
      </c>
      <c r="AB117">
        <f t="shared" si="31"/>
        <v>1</v>
      </c>
      <c r="AC117">
        <f t="shared" si="32"/>
        <v>1</v>
      </c>
      <c r="AD117">
        <f t="shared" si="33"/>
        <v>1</v>
      </c>
    </row>
    <row r="118" spans="1:30" x14ac:dyDescent="0.2">
      <c r="A118" s="23"/>
      <c r="B118" t="s">
        <v>176</v>
      </c>
      <c r="C118">
        <f t="shared" si="18"/>
        <v>20</v>
      </c>
      <c r="D118">
        <f t="shared" si="19"/>
        <v>6</v>
      </c>
      <c r="E118">
        <v>6</v>
      </c>
      <c r="I118">
        <f t="shared" si="20"/>
        <v>1</v>
      </c>
      <c r="J118">
        <f t="shared" si="21"/>
        <v>1</v>
      </c>
      <c r="K118">
        <f t="shared" si="22"/>
        <v>1</v>
      </c>
      <c r="L118">
        <f t="shared" si="23"/>
        <v>1</v>
      </c>
      <c r="M118">
        <f t="shared" si="24"/>
        <v>1</v>
      </c>
      <c r="N118">
        <v>1</v>
      </c>
      <c r="R118">
        <f t="shared" si="25"/>
        <v>1</v>
      </c>
      <c r="S118">
        <f t="shared" si="26"/>
        <v>1</v>
      </c>
      <c r="T118">
        <f t="shared" si="27"/>
        <v>1</v>
      </c>
      <c r="U118">
        <f t="shared" si="28"/>
        <v>1</v>
      </c>
      <c r="V118">
        <f t="shared" si="29"/>
        <v>13</v>
      </c>
      <c r="W118">
        <v>11</v>
      </c>
      <c r="Y118">
        <v>2</v>
      </c>
      <c r="AA118">
        <f t="shared" si="30"/>
        <v>0.84615384615384615</v>
      </c>
      <c r="AB118">
        <f t="shared" si="31"/>
        <v>0.84615384615384615</v>
      </c>
      <c r="AC118">
        <f t="shared" si="32"/>
        <v>1</v>
      </c>
      <c r="AD118">
        <f t="shared" si="33"/>
        <v>0.91666666666666663</v>
      </c>
    </row>
    <row r="119" spans="1:30" x14ac:dyDescent="0.2">
      <c r="A119" s="23"/>
      <c r="B119" t="s">
        <v>175</v>
      </c>
      <c r="C119">
        <f t="shared" si="18"/>
        <v>10</v>
      </c>
      <c r="D119">
        <f t="shared" si="19"/>
        <v>0</v>
      </c>
      <c r="E119">
        <v>0</v>
      </c>
      <c r="F119">
        <v>0</v>
      </c>
      <c r="G119">
        <v>0</v>
      </c>
      <c r="H119">
        <v>0</v>
      </c>
      <c r="I119" t="e">
        <f t="shared" si="20"/>
        <v>#DIV/0!</v>
      </c>
      <c r="J119" t="e">
        <f t="shared" si="21"/>
        <v>#DIV/0!</v>
      </c>
      <c r="K119" t="e">
        <f t="shared" si="22"/>
        <v>#DIV/0!</v>
      </c>
      <c r="L119" t="e">
        <f t="shared" si="23"/>
        <v>#DIV/0!</v>
      </c>
      <c r="M119">
        <f t="shared" si="24"/>
        <v>0</v>
      </c>
      <c r="N119">
        <v>0</v>
      </c>
      <c r="O119">
        <v>0</v>
      </c>
      <c r="P119">
        <v>0</v>
      </c>
      <c r="Q119">
        <v>0</v>
      </c>
      <c r="R119" t="e">
        <f t="shared" si="25"/>
        <v>#DIV/0!</v>
      </c>
      <c r="S119" t="e">
        <f t="shared" si="26"/>
        <v>#DIV/0!</v>
      </c>
      <c r="T119" t="e">
        <f t="shared" si="27"/>
        <v>#DIV/0!</v>
      </c>
      <c r="U119" t="e">
        <f t="shared" si="28"/>
        <v>#DIV/0!</v>
      </c>
      <c r="V119">
        <f t="shared" si="29"/>
        <v>10</v>
      </c>
      <c r="W119">
        <v>9</v>
      </c>
      <c r="Y119">
        <v>1</v>
      </c>
      <c r="AA119">
        <f t="shared" si="30"/>
        <v>0.9</v>
      </c>
      <c r="AB119">
        <f t="shared" si="31"/>
        <v>0.9</v>
      </c>
      <c r="AC119">
        <f t="shared" si="32"/>
        <v>1</v>
      </c>
      <c r="AD119">
        <f t="shared" si="33"/>
        <v>0.94736842105263164</v>
      </c>
    </row>
    <row r="120" spans="1:30" x14ac:dyDescent="0.2">
      <c r="A120" s="23"/>
      <c r="B120" t="s">
        <v>174</v>
      </c>
      <c r="C120">
        <f t="shared" si="18"/>
        <v>20</v>
      </c>
      <c r="D120">
        <f t="shared" si="19"/>
        <v>8</v>
      </c>
      <c r="E120">
        <v>8</v>
      </c>
      <c r="I120">
        <f t="shared" si="20"/>
        <v>1</v>
      </c>
      <c r="J120">
        <f t="shared" si="21"/>
        <v>1</v>
      </c>
      <c r="K120">
        <f t="shared" si="22"/>
        <v>1</v>
      </c>
      <c r="L120">
        <f t="shared" si="23"/>
        <v>1</v>
      </c>
      <c r="M120">
        <f t="shared" si="24"/>
        <v>6</v>
      </c>
      <c r="N120">
        <v>6</v>
      </c>
      <c r="R120">
        <f t="shared" si="25"/>
        <v>1</v>
      </c>
      <c r="S120">
        <f t="shared" si="26"/>
        <v>1</v>
      </c>
      <c r="T120">
        <f t="shared" si="27"/>
        <v>1</v>
      </c>
      <c r="U120">
        <f t="shared" si="28"/>
        <v>1</v>
      </c>
      <c r="V120">
        <f t="shared" si="29"/>
        <v>6</v>
      </c>
      <c r="W120">
        <v>6</v>
      </c>
      <c r="AA120">
        <f t="shared" si="30"/>
        <v>1</v>
      </c>
      <c r="AB120">
        <f t="shared" si="31"/>
        <v>1</v>
      </c>
      <c r="AC120">
        <f t="shared" si="32"/>
        <v>1</v>
      </c>
      <c r="AD120">
        <f t="shared" si="33"/>
        <v>1</v>
      </c>
    </row>
    <row r="121" spans="1:30" x14ac:dyDescent="0.2">
      <c r="A121" s="23"/>
      <c r="B121" t="s">
        <v>173</v>
      </c>
      <c r="C121">
        <f t="shared" si="18"/>
        <v>20</v>
      </c>
      <c r="D121">
        <f t="shared" si="19"/>
        <v>9</v>
      </c>
      <c r="E121">
        <v>9</v>
      </c>
      <c r="I121">
        <f t="shared" si="20"/>
        <v>1</v>
      </c>
      <c r="J121">
        <f t="shared" si="21"/>
        <v>1</v>
      </c>
      <c r="K121">
        <f t="shared" si="22"/>
        <v>1</v>
      </c>
      <c r="L121">
        <f t="shared" si="23"/>
        <v>1</v>
      </c>
      <c r="M121">
        <f t="shared" si="24"/>
        <v>6</v>
      </c>
      <c r="N121">
        <v>6</v>
      </c>
      <c r="R121">
        <f t="shared" si="25"/>
        <v>1</v>
      </c>
      <c r="S121">
        <f t="shared" si="26"/>
        <v>1</v>
      </c>
      <c r="T121">
        <f t="shared" si="27"/>
        <v>1</v>
      </c>
      <c r="U121">
        <f t="shared" si="28"/>
        <v>1</v>
      </c>
      <c r="V121">
        <f t="shared" si="29"/>
        <v>5</v>
      </c>
      <c r="W121">
        <v>5</v>
      </c>
      <c r="AA121">
        <f t="shared" si="30"/>
        <v>1</v>
      </c>
      <c r="AB121">
        <f t="shared" si="31"/>
        <v>1</v>
      </c>
      <c r="AC121">
        <f t="shared" si="32"/>
        <v>1</v>
      </c>
      <c r="AD121">
        <f t="shared" si="33"/>
        <v>1</v>
      </c>
    </row>
    <row r="122" spans="1:30" x14ac:dyDescent="0.2">
      <c r="A122" s="23"/>
      <c r="B122" t="s">
        <v>172</v>
      </c>
      <c r="C122">
        <f t="shared" si="18"/>
        <v>19</v>
      </c>
      <c r="D122">
        <f t="shared" si="19"/>
        <v>7</v>
      </c>
      <c r="E122">
        <v>7</v>
      </c>
      <c r="I122">
        <f t="shared" si="20"/>
        <v>1</v>
      </c>
      <c r="J122">
        <f t="shared" si="21"/>
        <v>1</v>
      </c>
      <c r="K122">
        <f t="shared" si="22"/>
        <v>1</v>
      </c>
      <c r="L122">
        <f t="shared" si="23"/>
        <v>1</v>
      </c>
      <c r="M122">
        <f t="shared" si="24"/>
        <v>6</v>
      </c>
      <c r="N122">
        <v>6</v>
      </c>
      <c r="R122">
        <f t="shared" si="25"/>
        <v>1</v>
      </c>
      <c r="S122">
        <f t="shared" si="26"/>
        <v>1</v>
      </c>
      <c r="T122">
        <f t="shared" si="27"/>
        <v>1</v>
      </c>
      <c r="U122">
        <f t="shared" si="28"/>
        <v>1</v>
      </c>
      <c r="V122">
        <f t="shared" si="29"/>
        <v>6</v>
      </c>
      <c r="W122">
        <v>6</v>
      </c>
      <c r="AA122">
        <f t="shared" si="30"/>
        <v>1</v>
      </c>
      <c r="AB122">
        <f t="shared" si="31"/>
        <v>1</v>
      </c>
      <c r="AC122">
        <f t="shared" si="32"/>
        <v>1</v>
      </c>
      <c r="AD122">
        <f t="shared" si="33"/>
        <v>1</v>
      </c>
    </row>
    <row r="123" spans="1:30" x14ac:dyDescent="0.2">
      <c r="A123" s="23"/>
      <c r="B123" t="s">
        <v>171</v>
      </c>
      <c r="C123">
        <f t="shared" si="18"/>
        <v>20</v>
      </c>
      <c r="D123">
        <f t="shared" si="19"/>
        <v>7</v>
      </c>
      <c r="E123">
        <v>7</v>
      </c>
      <c r="I123">
        <f t="shared" si="20"/>
        <v>1</v>
      </c>
      <c r="J123">
        <f t="shared" si="21"/>
        <v>1</v>
      </c>
      <c r="K123">
        <f t="shared" si="22"/>
        <v>1</v>
      </c>
      <c r="L123">
        <f t="shared" si="23"/>
        <v>1</v>
      </c>
      <c r="M123">
        <f t="shared" si="24"/>
        <v>5</v>
      </c>
      <c r="N123">
        <v>5</v>
      </c>
      <c r="R123">
        <f t="shared" si="25"/>
        <v>1</v>
      </c>
      <c r="S123">
        <f t="shared" si="26"/>
        <v>1</v>
      </c>
      <c r="T123">
        <f t="shared" si="27"/>
        <v>1</v>
      </c>
      <c r="U123">
        <f t="shared" si="28"/>
        <v>1</v>
      </c>
      <c r="V123">
        <f t="shared" si="29"/>
        <v>8</v>
      </c>
      <c r="W123">
        <v>7</v>
      </c>
      <c r="Y123">
        <v>1</v>
      </c>
      <c r="AA123">
        <f t="shared" si="30"/>
        <v>0.875</v>
      </c>
      <c r="AB123">
        <f t="shared" si="31"/>
        <v>0.875</v>
      </c>
      <c r="AC123">
        <f t="shared" si="32"/>
        <v>1</v>
      </c>
      <c r="AD123">
        <f t="shared" si="33"/>
        <v>0.93333333333333335</v>
      </c>
    </row>
    <row r="124" spans="1:30" x14ac:dyDescent="0.2">
      <c r="A124" s="23"/>
      <c r="B124" t="s">
        <v>170</v>
      </c>
      <c r="C124">
        <f t="shared" si="18"/>
        <v>20</v>
      </c>
      <c r="D124">
        <f t="shared" si="19"/>
        <v>9</v>
      </c>
      <c r="E124">
        <v>9</v>
      </c>
      <c r="I124">
        <f t="shared" si="20"/>
        <v>1</v>
      </c>
      <c r="J124">
        <f t="shared" si="21"/>
        <v>1</v>
      </c>
      <c r="K124">
        <f t="shared" si="22"/>
        <v>1</v>
      </c>
      <c r="L124">
        <f t="shared" si="23"/>
        <v>1</v>
      </c>
      <c r="M124">
        <f t="shared" si="24"/>
        <v>5</v>
      </c>
      <c r="N124">
        <v>5</v>
      </c>
      <c r="R124">
        <f t="shared" si="25"/>
        <v>1</v>
      </c>
      <c r="S124">
        <f t="shared" si="26"/>
        <v>1</v>
      </c>
      <c r="T124">
        <f t="shared" si="27"/>
        <v>1</v>
      </c>
      <c r="U124">
        <f t="shared" si="28"/>
        <v>1</v>
      </c>
      <c r="V124">
        <f t="shared" si="29"/>
        <v>6</v>
      </c>
      <c r="W124">
        <v>6</v>
      </c>
      <c r="AA124">
        <f t="shared" si="30"/>
        <v>1</v>
      </c>
      <c r="AB124">
        <f t="shared" si="31"/>
        <v>1</v>
      </c>
      <c r="AC124">
        <f t="shared" si="32"/>
        <v>1</v>
      </c>
      <c r="AD124">
        <f t="shared" si="33"/>
        <v>1</v>
      </c>
    </row>
    <row r="125" spans="1:30" x14ac:dyDescent="0.2">
      <c r="A125" s="23"/>
      <c r="B125" t="s">
        <v>169</v>
      </c>
      <c r="C125">
        <f t="shared" si="18"/>
        <v>20</v>
      </c>
      <c r="D125">
        <f t="shared" si="19"/>
        <v>8</v>
      </c>
      <c r="E125">
        <v>8</v>
      </c>
      <c r="I125">
        <f t="shared" si="20"/>
        <v>1</v>
      </c>
      <c r="J125">
        <f t="shared" si="21"/>
        <v>1</v>
      </c>
      <c r="K125">
        <f t="shared" si="22"/>
        <v>1</v>
      </c>
      <c r="L125">
        <f t="shared" si="23"/>
        <v>1</v>
      </c>
      <c r="M125">
        <f t="shared" si="24"/>
        <v>4</v>
      </c>
      <c r="N125">
        <v>4</v>
      </c>
      <c r="R125">
        <f t="shared" si="25"/>
        <v>1</v>
      </c>
      <c r="S125">
        <f t="shared" si="26"/>
        <v>1</v>
      </c>
      <c r="T125">
        <f t="shared" si="27"/>
        <v>1</v>
      </c>
      <c r="U125">
        <f t="shared" si="28"/>
        <v>1</v>
      </c>
      <c r="V125">
        <f t="shared" si="29"/>
        <v>8</v>
      </c>
      <c r="W125">
        <v>8</v>
      </c>
      <c r="AA125">
        <f t="shared" si="30"/>
        <v>1</v>
      </c>
      <c r="AB125">
        <f t="shared" si="31"/>
        <v>1</v>
      </c>
      <c r="AC125">
        <f t="shared" si="32"/>
        <v>1</v>
      </c>
      <c r="AD125">
        <f t="shared" si="33"/>
        <v>1</v>
      </c>
    </row>
    <row r="126" spans="1:30" x14ac:dyDescent="0.2">
      <c r="A126" s="23"/>
      <c r="B126" t="s">
        <v>168</v>
      </c>
      <c r="C126">
        <f t="shared" si="18"/>
        <v>20</v>
      </c>
      <c r="D126">
        <f t="shared" si="19"/>
        <v>7</v>
      </c>
      <c r="E126">
        <v>7</v>
      </c>
      <c r="I126">
        <f t="shared" si="20"/>
        <v>1</v>
      </c>
      <c r="J126">
        <f t="shared" si="21"/>
        <v>1</v>
      </c>
      <c r="K126">
        <f t="shared" si="22"/>
        <v>1</v>
      </c>
      <c r="L126">
        <f t="shared" si="23"/>
        <v>1</v>
      </c>
      <c r="M126">
        <f t="shared" si="24"/>
        <v>7</v>
      </c>
      <c r="N126">
        <v>7</v>
      </c>
      <c r="R126">
        <f t="shared" si="25"/>
        <v>1</v>
      </c>
      <c r="S126">
        <f t="shared" si="26"/>
        <v>1</v>
      </c>
      <c r="T126">
        <f t="shared" si="27"/>
        <v>1</v>
      </c>
      <c r="U126">
        <f t="shared" si="28"/>
        <v>1</v>
      </c>
      <c r="V126">
        <f t="shared" si="29"/>
        <v>6</v>
      </c>
      <c r="W126">
        <v>6</v>
      </c>
      <c r="AA126">
        <f t="shared" si="30"/>
        <v>1</v>
      </c>
      <c r="AB126">
        <f t="shared" si="31"/>
        <v>1</v>
      </c>
      <c r="AC126">
        <f t="shared" si="32"/>
        <v>1</v>
      </c>
      <c r="AD126">
        <f t="shared" si="33"/>
        <v>1</v>
      </c>
    </row>
    <row r="127" spans="1:30" x14ac:dyDescent="0.2">
      <c r="A127" s="23"/>
      <c r="B127" t="s">
        <v>167</v>
      </c>
      <c r="C127">
        <f t="shared" si="18"/>
        <v>20</v>
      </c>
      <c r="D127">
        <f t="shared" si="19"/>
        <v>6</v>
      </c>
      <c r="E127">
        <v>6</v>
      </c>
      <c r="I127">
        <f t="shared" si="20"/>
        <v>1</v>
      </c>
      <c r="J127">
        <f t="shared" si="21"/>
        <v>1</v>
      </c>
      <c r="K127">
        <f t="shared" si="22"/>
        <v>1</v>
      </c>
      <c r="L127">
        <f t="shared" si="23"/>
        <v>1</v>
      </c>
      <c r="M127">
        <f t="shared" si="24"/>
        <v>4</v>
      </c>
      <c r="N127">
        <v>4</v>
      </c>
      <c r="R127">
        <f t="shared" si="25"/>
        <v>1</v>
      </c>
      <c r="S127">
        <f t="shared" si="26"/>
        <v>1</v>
      </c>
      <c r="T127">
        <f t="shared" si="27"/>
        <v>1</v>
      </c>
      <c r="U127">
        <f t="shared" si="28"/>
        <v>1</v>
      </c>
      <c r="V127">
        <f t="shared" si="29"/>
        <v>10</v>
      </c>
      <c r="W127">
        <v>8</v>
      </c>
      <c r="Y127">
        <v>2</v>
      </c>
      <c r="AA127">
        <f t="shared" si="30"/>
        <v>0.8</v>
      </c>
      <c r="AB127">
        <f t="shared" si="31"/>
        <v>0.8</v>
      </c>
      <c r="AC127">
        <f t="shared" si="32"/>
        <v>1</v>
      </c>
      <c r="AD127">
        <f t="shared" si="33"/>
        <v>0.88888888888888895</v>
      </c>
    </row>
    <row r="128" spans="1:30" x14ac:dyDescent="0.2">
      <c r="A128" s="23"/>
      <c r="B128" t="s">
        <v>166</v>
      </c>
      <c r="C128">
        <f t="shared" si="18"/>
        <v>17</v>
      </c>
      <c r="D128">
        <f t="shared" si="19"/>
        <v>8</v>
      </c>
      <c r="E128">
        <v>8</v>
      </c>
      <c r="I128">
        <f t="shared" si="20"/>
        <v>1</v>
      </c>
      <c r="J128">
        <f t="shared" si="21"/>
        <v>1</v>
      </c>
      <c r="K128">
        <f t="shared" si="22"/>
        <v>1</v>
      </c>
      <c r="L128">
        <f t="shared" si="23"/>
        <v>1</v>
      </c>
      <c r="M128">
        <f t="shared" si="24"/>
        <v>2</v>
      </c>
      <c r="N128">
        <v>2</v>
      </c>
      <c r="R128">
        <f t="shared" si="25"/>
        <v>1</v>
      </c>
      <c r="S128">
        <f t="shared" si="26"/>
        <v>1</v>
      </c>
      <c r="T128">
        <f t="shared" si="27"/>
        <v>1</v>
      </c>
      <c r="U128">
        <f t="shared" si="28"/>
        <v>1</v>
      </c>
      <c r="V128">
        <f t="shared" si="29"/>
        <v>7</v>
      </c>
      <c r="W128">
        <v>7</v>
      </c>
      <c r="AA128">
        <f t="shared" si="30"/>
        <v>1</v>
      </c>
      <c r="AB128">
        <f t="shared" si="31"/>
        <v>1</v>
      </c>
      <c r="AC128">
        <f t="shared" si="32"/>
        <v>1</v>
      </c>
      <c r="AD128">
        <f t="shared" si="33"/>
        <v>1</v>
      </c>
    </row>
    <row r="129" spans="1:30" x14ac:dyDescent="0.2">
      <c r="A129" s="23"/>
      <c r="B129" t="s">
        <v>165</v>
      </c>
      <c r="C129">
        <f t="shared" si="18"/>
        <v>19</v>
      </c>
      <c r="D129">
        <f t="shared" si="19"/>
        <v>5</v>
      </c>
      <c r="E129">
        <v>5</v>
      </c>
      <c r="I129">
        <f t="shared" si="20"/>
        <v>1</v>
      </c>
      <c r="J129">
        <f t="shared" si="21"/>
        <v>1</v>
      </c>
      <c r="K129">
        <f t="shared" si="22"/>
        <v>1</v>
      </c>
      <c r="L129">
        <f t="shared" si="23"/>
        <v>1</v>
      </c>
      <c r="M129">
        <f t="shared" si="24"/>
        <v>8</v>
      </c>
      <c r="N129">
        <v>6</v>
      </c>
      <c r="P129">
        <v>2</v>
      </c>
      <c r="R129">
        <f t="shared" si="25"/>
        <v>0.75</v>
      </c>
      <c r="S129">
        <f t="shared" si="26"/>
        <v>0.75</v>
      </c>
      <c r="T129">
        <f t="shared" si="27"/>
        <v>1</v>
      </c>
      <c r="U129">
        <f t="shared" si="28"/>
        <v>0.8571428571428571</v>
      </c>
      <c r="V129">
        <f t="shared" si="29"/>
        <v>6</v>
      </c>
      <c r="W129">
        <v>5</v>
      </c>
      <c r="Y129">
        <v>1</v>
      </c>
      <c r="AA129">
        <f t="shared" si="30"/>
        <v>0.83333333333333337</v>
      </c>
      <c r="AB129">
        <f t="shared" si="31"/>
        <v>0.83333333333333337</v>
      </c>
      <c r="AC129">
        <f t="shared" si="32"/>
        <v>1</v>
      </c>
      <c r="AD129">
        <f t="shared" si="33"/>
        <v>0.90909090909090906</v>
      </c>
    </row>
    <row r="130" spans="1:30" x14ac:dyDescent="0.2">
      <c r="A130" s="23"/>
      <c r="B130" t="s">
        <v>164</v>
      </c>
      <c r="C130">
        <f t="shared" si="18"/>
        <v>20</v>
      </c>
      <c r="D130">
        <f t="shared" si="19"/>
        <v>7</v>
      </c>
      <c r="E130">
        <v>6</v>
      </c>
      <c r="G130">
        <v>1</v>
      </c>
      <c r="I130">
        <f t="shared" si="20"/>
        <v>0.8571428571428571</v>
      </c>
      <c r="J130">
        <f t="shared" si="21"/>
        <v>0.8571428571428571</v>
      </c>
      <c r="K130">
        <f t="shared" si="22"/>
        <v>1</v>
      </c>
      <c r="L130">
        <f t="shared" si="23"/>
        <v>0.92307692307692302</v>
      </c>
      <c r="M130">
        <f t="shared" si="24"/>
        <v>6</v>
      </c>
      <c r="N130">
        <v>6</v>
      </c>
      <c r="R130">
        <f t="shared" si="25"/>
        <v>1</v>
      </c>
      <c r="S130">
        <f t="shared" si="26"/>
        <v>1</v>
      </c>
      <c r="T130">
        <f t="shared" si="27"/>
        <v>1</v>
      </c>
      <c r="U130">
        <f t="shared" si="28"/>
        <v>1</v>
      </c>
      <c r="V130">
        <f t="shared" si="29"/>
        <v>7</v>
      </c>
      <c r="W130">
        <v>7</v>
      </c>
      <c r="AA130">
        <f t="shared" si="30"/>
        <v>1</v>
      </c>
      <c r="AB130">
        <f t="shared" si="31"/>
        <v>1</v>
      </c>
      <c r="AC130">
        <f t="shared" si="32"/>
        <v>1</v>
      </c>
      <c r="AD130">
        <f t="shared" si="33"/>
        <v>1</v>
      </c>
    </row>
    <row r="131" spans="1:30" x14ac:dyDescent="0.2">
      <c r="A131" s="23"/>
      <c r="B131" s="8" t="s">
        <v>163</v>
      </c>
      <c r="C131" s="8">
        <f t="shared" si="18"/>
        <v>0</v>
      </c>
      <c r="D131" s="8">
        <f t="shared" si="19"/>
        <v>0</v>
      </c>
      <c r="E131" s="8"/>
      <c r="F131" s="8"/>
      <c r="G131" s="8"/>
      <c r="H131" s="8"/>
      <c r="I131" t="e">
        <f t="shared" si="20"/>
        <v>#DIV/0!</v>
      </c>
      <c r="J131" t="e">
        <f t="shared" si="21"/>
        <v>#DIV/0!</v>
      </c>
      <c r="K131" t="e">
        <f t="shared" si="22"/>
        <v>#DIV/0!</v>
      </c>
      <c r="L131" t="e">
        <f t="shared" si="23"/>
        <v>#DIV/0!</v>
      </c>
      <c r="M131" s="8">
        <f t="shared" si="24"/>
        <v>0</v>
      </c>
      <c r="N131" s="8"/>
      <c r="O131" s="8"/>
      <c r="P131" s="8"/>
      <c r="Q131" s="8"/>
      <c r="R131" t="e">
        <f t="shared" si="25"/>
        <v>#DIV/0!</v>
      </c>
      <c r="S131" t="e">
        <f t="shared" si="26"/>
        <v>#DIV/0!</v>
      </c>
      <c r="T131" t="e">
        <f t="shared" si="27"/>
        <v>#DIV/0!</v>
      </c>
      <c r="U131" t="e">
        <f t="shared" si="28"/>
        <v>#DIV/0!</v>
      </c>
      <c r="V131" s="8">
        <f t="shared" si="29"/>
        <v>0</v>
      </c>
      <c r="W131" s="8"/>
      <c r="X131" s="8"/>
      <c r="Y131" s="8"/>
      <c r="Z131" s="8"/>
      <c r="AA131" t="e">
        <f t="shared" si="30"/>
        <v>#DIV/0!</v>
      </c>
      <c r="AB131" t="e">
        <f t="shared" si="31"/>
        <v>#DIV/0!</v>
      </c>
      <c r="AC131" t="e">
        <f t="shared" si="32"/>
        <v>#DIV/0!</v>
      </c>
      <c r="AD131" t="e">
        <f t="shared" si="33"/>
        <v>#DIV/0!</v>
      </c>
    </row>
    <row r="132" spans="1:30" x14ac:dyDescent="0.2">
      <c r="A132" s="23"/>
      <c r="B132" t="s">
        <v>162</v>
      </c>
      <c r="C132">
        <f t="shared" ref="C132:C195" si="34">D132+M132+V132</f>
        <v>20</v>
      </c>
      <c r="D132">
        <f t="shared" ref="D132:D195" si="35">SUM(E132:H132)</f>
        <v>8</v>
      </c>
      <c r="E132">
        <v>7</v>
      </c>
      <c r="G132">
        <v>1</v>
      </c>
      <c r="I132">
        <f t="shared" ref="I132:I195" si="36">(E132+F132)/(E132+F132+G132+H132)</f>
        <v>0.875</v>
      </c>
      <c r="J132">
        <f t="shared" ref="J132:J195" si="37">E132/(E132+G132)</f>
        <v>0.875</v>
      </c>
      <c r="K132">
        <f t="shared" ref="K132:K195" si="38">E132/(E132+H132)</f>
        <v>1</v>
      </c>
      <c r="L132">
        <f t="shared" ref="L132:L195" si="39">(2*J132*K132)/(J132+K132)</f>
        <v>0.93333333333333335</v>
      </c>
      <c r="M132">
        <f t="shared" ref="M132:M195" si="40">SUM(N132:Q132)</f>
        <v>2</v>
      </c>
      <c r="N132">
        <v>1</v>
      </c>
      <c r="P132">
        <v>1</v>
      </c>
      <c r="R132">
        <f t="shared" ref="R132:R195" si="41">(N132+O132)/(N132+O132+P132+Q132)</f>
        <v>0.5</v>
      </c>
      <c r="S132">
        <f t="shared" ref="S132:S195" si="42">N132/(N132+P132)</f>
        <v>0.5</v>
      </c>
      <c r="T132">
        <f t="shared" ref="T132:T195" si="43">N132/(N132+Q132)</f>
        <v>1</v>
      </c>
      <c r="U132">
        <f t="shared" ref="U132:U195" si="44">(2*S132*T132)/(S132+T132)</f>
        <v>0.66666666666666663</v>
      </c>
      <c r="V132">
        <f t="shared" ref="V132:V195" si="45">SUM(W132:Z132)</f>
        <v>10</v>
      </c>
      <c r="W132">
        <v>10</v>
      </c>
      <c r="AA132">
        <f t="shared" ref="AA132:AA195" si="46">(W132+X132)/(W132+X132+Y132+Z132)</f>
        <v>1</v>
      </c>
      <c r="AB132">
        <f t="shared" ref="AB132:AB195" si="47">W132/(W132+Y132)</f>
        <v>1</v>
      </c>
      <c r="AC132">
        <f t="shared" ref="AC132:AC195" si="48">W132/(W132+Z132)</f>
        <v>1</v>
      </c>
      <c r="AD132">
        <f t="shared" ref="AD132:AD195" si="49">(2*AB132*AC132)/(AB132+AC132)</f>
        <v>1</v>
      </c>
    </row>
    <row r="133" spans="1:30" x14ac:dyDescent="0.2">
      <c r="A133" s="23"/>
      <c r="B133" t="s">
        <v>161</v>
      </c>
      <c r="C133">
        <f t="shared" si="34"/>
        <v>20</v>
      </c>
      <c r="D133">
        <f t="shared" si="35"/>
        <v>8</v>
      </c>
      <c r="E133">
        <v>7</v>
      </c>
      <c r="G133">
        <v>1</v>
      </c>
      <c r="I133">
        <f t="shared" si="36"/>
        <v>0.875</v>
      </c>
      <c r="J133">
        <f t="shared" si="37"/>
        <v>0.875</v>
      </c>
      <c r="K133">
        <f t="shared" si="38"/>
        <v>1</v>
      </c>
      <c r="L133">
        <f t="shared" si="39"/>
        <v>0.93333333333333335</v>
      </c>
      <c r="M133">
        <f t="shared" si="40"/>
        <v>1</v>
      </c>
      <c r="N133">
        <v>1</v>
      </c>
      <c r="R133">
        <f t="shared" si="41"/>
        <v>1</v>
      </c>
      <c r="S133">
        <f t="shared" si="42"/>
        <v>1</v>
      </c>
      <c r="T133">
        <f t="shared" si="43"/>
        <v>1</v>
      </c>
      <c r="U133">
        <f t="shared" si="44"/>
        <v>1</v>
      </c>
      <c r="V133">
        <f t="shared" si="45"/>
        <v>11</v>
      </c>
      <c r="W133">
        <v>11</v>
      </c>
      <c r="AA133">
        <f t="shared" si="46"/>
        <v>1</v>
      </c>
      <c r="AB133">
        <f t="shared" si="47"/>
        <v>1</v>
      </c>
      <c r="AC133">
        <f t="shared" si="48"/>
        <v>1</v>
      </c>
      <c r="AD133">
        <f t="shared" si="49"/>
        <v>1</v>
      </c>
    </row>
    <row r="134" spans="1:30" x14ac:dyDescent="0.2">
      <c r="A134" s="23"/>
      <c r="B134" t="s">
        <v>160</v>
      </c>
      <c r="C134">
        <f t="shared" si="34"/>
        <v>20</v>
      </c>
      <c r="D134">
        <f t="shared" si="35"/>
        <v>8</v>
      </c>
      <c r="E134">
        <v>8</v>
      </c>
      <c r="I134">
        <f t="shared" si="36"/>
        <v>1</v>
      </c>
      <c r="J134">
        <f t="shared" si="37"/>
        <v>1</v>
      </c>
      <c r="K134">
        <f t="shared" si="38"/>
        <v>1</v>
      </c>
      <c r="L134">
        <f t="shared" si="39"/>
        <v>1</v>
      </c>
      <c r="M134">
        <f t="shared" si="40"/>
        <v>8</v>
      </c>
      <c r="N134">
        <v>8</v>
      </c>
      <c r="R134">
        <f t="shared" si="41"/>
        <v>1</v>
      </c>
      <c r="S134">
        <f t="shared" si="42"/>
        <v>1</v>
      </c>
      <c r="T134">
        <f t="shared" si="43"/>
        <v>1</v>
      </c>
      <c r="U134">
        <f t="shared" si="44"/>
        <v>1</v>
      </c>
      <c r="V134">
        <f t="shared" si="45"/>
        <v>4</v>
      </c>
      <c r="W134">
        <v>4</v>
      </c>
      <c r="AA134">
        <f t="shared" si="46"/>
        <v>1</v>
      </c>
      <c r="AB134">
        <f t="shared" si="47"/>
        <v>1</v>
      </c>
      <c r="AC134">
        <f t="shared" si="48"/>
        <v>1</v>
      </c>
      <c r="AD134">
        <f t="shared" si="49"/>
        <v>1</v>
      </c>
    </row>
    <row r="135" spans="1:30" x14ac:dyDescent="0.2">
      <c r="A135" s="23"/>
      <c r="B135" t="s">
        <v>159</v>
      </c>
      <c r="C135">
        <f t="shared" si="34"/>
        <v>20</v>
      </c>
      <c r="D135">
        <f t="shared" si="35"/>
        <v>7</v>
      </c>
      <c r="E135">
        <v>7</v>
      </c>
      <c r="I135">
        <f t="shared" si="36"/>
        <v>1</v>
      </c>
      <c r="J135">
        <f t="shared" si="37"/>
        <v>1</v>
      </c>
      <c r="K135">
        <f t="shared" si="38"/>
        <v>1</v>
      </c>
      <c r="L135">
        <f t="shared" si="39"/>
        <v>1</v>
      </c>
      <c r="M135">
        <f t="shared" si="40"/>
        <v>5</v>
      </c>
      <c r="N135">
        <v>5</v>
      </c>
      <c r="R135">
        <f t="shared" si="41"/>
        <v>1</v>
      </c>
      <c r="S135">
        <f t="shared" si="42"/>
        <v>1</v>
      </c>
      <c r="T135">
        <f t="shared" si="43"/>
        <v>1</v>
      </c>
      <c r="U135">
        <f t="shared" si="44"/>
        <v>1</v>
      </c>
      <c r="V135">
        <f t="shared" si="45"/>
        <v>8</v>
      </c>
      <c r="W135">
        <v>8</v>
      </c>
      <c r="AA135">
        <f t="shared" si="46"/>
        <v>1</v>
      </c>
      <c r="AB135">
        <f t="shared" si="47"/>
        <v>1</v>
      </c>
      <c r="AC135">
        <f t="shared" si="48"/>
        <v>1</v>
      </c>
      <c r="AD135">
        <f t="shared" si="49"/>
        <v>1</v>
      </c>
    </row>
    <row r="136" spans="1:30" x14ac:dyDescent="0.2">
      <c r="A136" s="23"/>
      <c r="B136" t="s">
        <v>158</v>
      </c>
      <c r="C136">
        <f t="shared" si="34"/>
        <v>20</v>
      </c>
      <c r="D136">
        <f t="shared" si="35"/>
        <v>8</v>
      </c>
      <c r="E136">
        <v>8</v>
      </c>
      <c r="I136">
        <f t="shared" si="36"/>
        <v>1</v>
      </c>
      <c r="J136">
        <f t="shared" si="37"/>
        <v>1</v>
      </c>
      <c r="K136">
        <f t="shared" si="38"/>
        <v>1</v>
      </c>
      <c r="L136">
        <f t="shared" si="39"/>
        <v>1</v>
      </c>
      <c r="M136">
        <f t="shared" si="40"/>
        <v>6</v>
      </c>
      <c r="N136">
        <v>6</v>
      </c>
      <c r="R136">
        <f t="shared" si="41"/>
        <v>1</v>
      </c>
      <c r="S136">
        <f t="shared" si="42"/>
        <v>1</v>
      </c>
      <c r="T136">
        <f t="shared" si="43"/>
        <v>1</v>
      </c>
      <c r="U136">
        <f t="shared" si="44"/>
        <v>1</v>
      </c>
      <c r="V136">
        <f t="shared" si="45"/>
        <v>6</v>
      </c>
      <c r="W136">
        <v>6</v>
      </c>
      <c r="AA136">
        <f t="shared" si="46"/>
        <v>1</v>
      </c>
      <c r="AB136">
        <f t="shared" si="47"/>
        <v>1</v>
      </c>
      <c r="AC136">
        <f t="shared" si="48"/>
        <v>1</v>
      </c>
      <c r="AD136">
        <f t="shared" si="49"/>
        <v>1</v>
      </c>
    </row>
    <row r="137" spans="1:30" x14ac:dyDescent="0.2">
      <c r="A137" s="23"/>
      <c r="B137" t="s">
        <v>157</v>
      </c>
      <c r="C137">
        <f t="shared" si="34"/>
        <v>20</v>
      </c>
      <c r="D137">
        <f t="shared" si="35"/>
        <v>9</v>
      </c>
      <c r="E137">
        <v>9</v>
      </c>
      <c r="I137">
        <f t="shared" si="36"/>
        <v>1</v>
      </c>
      <c r="J137">
        <f t="shared" si="37"/>
        <v>1</v>
      </c>
      <c r="K137">
        <f t="shared" si="38"/>
        <v>1</v>
      </c>
      <c r="L137">
        <f t="shared" si="39"/>
        <v>1</v>
      </c>
      <c r="M137">
        <f t="shared" si="40"/>
        <v>4</v>
      </c>
      <c r="N137">
        <v>4</v>
      </c>
      <c r="R137">
        <f t="shared" si="41"/>
        <v>1</v>
      </c>
      <c r="S137">
        <f t="shared" si="42"/>
        <v>1</v>
      </c>
      <c r="T137">
        <f t="shared" si="43"/>
        <v>1</v>
      </c>
      <c r="U137">
        <f t="shared" si="44"/>
        <v>1</v>
      </c>
      <c r="V137">
        <f t="shared" si="45"/>
        <v>7</v>
      </c>
      <c r="W137">
        <v>7</v>
      </c>
      <c r="AA137">
        <f t="shared" si="46"/>
        <v>1</v>
      </c>
      <c r="AB137">
        <f t="shared" si="47"/>
        <v>1</v>
      </c>
      <c r="AC137">
        <f t="shared" si="48"/>
        <v>1</v>
      </c>
      <c r="AD137">
        <f t="shared" si="49"/>
        <v>1</v>
      </c>
    </row>
    <row r="138" spans="1:30" x14ac:dyDescent="0.2">
      <c r="A138" s="23"/>
      <c r="B138" t="s">
        <v>156</v>
      </c>
      <c r="C138">
        <f t="shared" si="34"/>
        <v>20</v>
      </c>
      <c r="D138">
        <f t="shared" si="35"/>
        <v>6</v>
      </c>
      <c r="E138">
        <v>6</v>
      </c>
      <c r="I138">
        <f t="shared" si="36"/>
        <v>1</v>
      </c>
      <c r="J138">
        <f t="shared" si="37"/>
        <v>1</v>
      </c>
      <c r="K138">
        <f t="shared" si="38"/>
        <v>1</v>
      </c>
      <c r="L138">
        <f t="shared" si="39"/>
        <v>1</v>
      </c>
      <c r="M138">
        <f t="shared" si="40"/>
        <v>5</v>
      </c>
      <c r="N138">
        <v>4</v>
      </c>
      <c r="P138">
        <v>1</v>
      </c>
      <c r="R138">
        <f t="shared" si="41"/>
        <v>0.8</v>
      </c>
      <c r="S138">
        <f t="shared" si="42"/>
        <v>0.8</v>
      </c>
      <c r="T138">
        <f t="shared" si="43"/>
        <v>1</v>
      </c>
      <c r="U138">
        <f t="shared" si="44"/>
        <v>0.88888888888888895</v>
      </c>
      <c r="V138">
        <f t="shared" si="45"/>
        <v>9</v>
      </c>
      <c r="W138">
        <v>9</v>
      </c>
      <c r="AA138">
        <f t="shared" si="46"/>
        <v>1</v>
      </c>
      <c r="AB138">
        <f t="shared" si="47"/>
        <v>1</v>
      </c>
      <c r="AC138">
        <f t="shared" si="48"/>
        <v>1</v>
      </c>
      <c r="AD138">
        <f t="shared" si="49"/>
        <v>1</v>
      </c>
    </row>
    <row r="139" spans="1:30" x14ac:dyDescent="0.2">
      <c r="A139" s="23"/>
      <c r="B139" t="s">
        <v>155</v>
      </c>
      <c r="C139">
        <f t="shared" si="34"/>
        <v>20</v>
      </c>
      <c r="D139">
        <f t="shared" si="35"/>
        <v>8</v>
      </c>
      <c r="E139">
        <v>8</v>
      </c>
      <c r="I139">
        <f t="shared" si="36"/>
        <v>1</v>
      </c>
      <c r="J139">
        <f t="shared" si="37"/>
        <v>1</v>
      </c>
      <c r="K139">
        <f t="shared" si="38"/>
        <v>1</v>
      </c>
      <c r="L139">
        <f t="shared" si="39"/>
        <v>1</v>
      </c>
      <c r="M139">
        <f t="shared" si="40"/>
        <v>5</v>
      </c>
      <c r="N139">
        <v>5</v>
      </c>
      <c r="R139">
        <f t="shared" si="41"/>
        <v>1</v>
      </c>
      <c r="S139">
        <f t="shared" si="42"/>
        <v>1</v>
      </c>
      <c r="T139">
        <f t="shared" si="43"/>
        <v>1</v>
      </c>
      <c r="U139">
        <f t="shared" si="44"/>
        <v>1</v>
      </c>
      <c r="V139">
        <f t="shared" si="45"/>
        <v>7</v>
      </c>
      <c r="W139">
        <v>7</v>
      </c>
      <c r="AA139">
        <f t="shared" si="46"/>
        <v>1</v>
      </c>
      <c r="AB139">
        <f t="shared" si="47"/>
        <v>1</v>
      </c>
      <c r="AC139">
        <f t="shared" si="48"/>
        <v>1</v>
      </c>
      <c r="AD139">
        <f t="shared" si="49"/>
        <v>1</v>
      </c>
    </row>
    <row r="140" spans="1:30" x14ac:dyDescent="0.2">
      <c r="A140" s="23"/>
      <c r="B140" t="s">
        <v>154</v>
      </c>
      <c r="C140">
        <f t="shared" si="34"/>
        <v>20</v>
      </c>
      <c r="D140">
        <f t="shared" si="35"/>
        <v>7</v>
      </c>
      <c r="E140">
        <v>7</v>
      </c>
      <c r="I140">
        <f t="shared" si="36"/>
        <v>1</v>
      </c>
      <c r="J140">
        <f t="shared" si="37"/>
        <v>1</v>
      </c>
      <c r="K140">
        <f t="shared" si="38"/>
        <v>1</v>
      </c>
      <c r="L140">
        <f t="shared" si="39"/>
        <v>1</v>
      </c>
      <c r="M140">
        <f t="shared" si="40"/>
        <v>9</v>
      </c>
      <c r="N140">
        <v>9</v>
      </c>
      <c r="R140">
        <f t="shared" si="41"/>
        <v>1</v>
      </c>
      <c r="S140">
        <f t="shared" si="42"/>
        <v>1</v>
      </c>
      <c r="T140">
        <f t="shared" si="43"/>
        <v>1</v>
      </c>
      <c r="U140">
        <f t="shared" si="44"/>
        <v>1</v>
      </c>
      <c r="V140">
        <f t="shared" si="45"/>
        <v>4</v>
      </c>
      <c r="W140">
        <v>4</v>
      </c>
      <c r="AA140">
        <f t="shared" si="46"/>
        <v>1</v>
      </c>
      <c r="AB140">
        <f t="shared" si="47"/>
        <v>1</v>
      </c>
      <c r="AC140">
        <f t="shared" si="48"/>
        <v>1</v>
      </c>
      <c r="AD140">
        <f t="shared" si="49"/>
        <v>1</v>
      </c>
    </row>
    <row r="141" spans="1:30" x14ac:dyDescent="0.2">
      <c r="A141" s="23"/>
      <c r="B141" t="s">
        <v>153</v>
      </c>
      <c r="C141">
        <f t="shared" si="34"/>
        <v>20</v>
      </c>
      <c r="D141">
        <f t="shared" si="35"/>
        <v>7</v>
      </c>
      <c r="E141">
        <v>7</v>
      </c>
      <c r="I141">
        <f t="shared" si="36"/>
        <v>1</v>
      </c>
      <c r="J141">
        <f t="shared" si="37"/>
        <v>1</v>
      </c>
      <c r="K141">
        <f t="shared" si="38"/>
        <v>1</v>
      </c>
      <c r="L141">
        <f t="shared" si="39"/>
        <v>1</v>
      </c>
      <c r="M141">
        <f t="shared" si="40"/>
        <v>1</v>
      </c>
      <c r="O141">
        <v>1</v>
      </c>
      <c r="R141">
        <f t="shared" si="41"/>
        <v>1</v>
      </c>
      <c r="S141" t="e">
        <f t="shared" si="42"/>
        <v>#DIV/0!</v>
      </c>
      <c r="T141" t="e">
        <f t="shared" si="43"/>
        <v>#DIV/0!</v>
      </c>
      <c r="U141" t="e">
        <f t="shared" si="44"/>
        <v>#DIV/0!</v>
      </c>
      <c r="V141">
        <f t="shared" si="45"/>
        <v>12</v>
      </c>
      <c r="W141">
        <v>12</v>
      </c>
      <c r="AA141">
        <f t="shared" si="46"/>
        <v>1</v>
      </c>
      <c r="AB141">
        <f t="shared" si="47"/>
        <v>1</v>
      </c>
      <c r="AC141">
        <f t="shared" si="48"/>
        <v>1</v>
      </c>
      <c r="AD141">
        <f t="shared" si="49"/>
        <v>1</v>
      </c>
    </row>
    <row r="142" spans="1:30" x14ac:dyDescent="0.2">
      <c r="A142" s="23"/>
      <c r="B142" t="s">
        <v>152</v>
      </c>
      <c r="C142">
        <f t="shared" si="34"/>
        <v>19</v>
      </c>
      <c r="D142">
        <f t="shared" si="35"/>
        <v>7</v>
      </c>
      <c r="E142">
        <v>7</v>
      </c>
      <c r="I142">
        <f t="shared" si="36"/>
        <v>1</v>
      </c>
      <c r="J142">
        <f t="shared" si="37"/>
        <v>1</v>
      </c>
      <c r="K142">
        <f t="shared" si="38"/>
        <v>1</v>
      </c>
      <c r="L142">
        <f t="shared" si="39"/>
        <v>1</v>
      </c>
      <c r="M142">
        <f t="shared" si="40"/>
        <v>6</v>
      </c>
      <c r="N142">
        <v>6</v>
      </c>
      <c r="R142">
        <f t="shared" si="41"/>
        <v>1</v>
      </c>
      <c r="S142">
        <f t="shared" si="42"/>
        <v>1</v>
      </c>
      <c r="T142">
        <f t="shared" si="43"/>
        <v>1</v>
      </c>
      <c r="U142">
        <f t="shared" si="44"/>
        <v>1</v>
      </c>
      <c r="V142">
        <f t="shared" si="45"/>
        <v>6</v>
      </c>
      <c r="W142">
        <v>6</v>
      </c>
      <c r="AA142">
        <f t="shared" si="46"/>
        <v>1</v>
      </c>
      <c r="AB142">
        <f t="shared" si="47"/>
        <v>1</v>
      </c>
      <c r="AC142">
        <f t="shared" si="48"/>
        <v>1</v>
      </c>
      <c r="AD142">
        <f t="shared" si="49"/>
        <v>1</v>
      </c>
    </row>
    <row r="143" spans="1:30" x14ac:dyDescent="0.2">
      <c r="A143" s="23"/>
      <c r="B143" t="s">
        <v>151</v>
      </c>
      <c r="C143">
        <f t="shared" si="34"/>
        <v>20</v>
      </c>
      <c r="D143">
        <f t="shared" si="35"/>
        <v>8</v>
      </c>
      <c r="E143">
        <v>8</v>
      </c>
      <c r="I143">
        <f t="shared" si="36"/>
        <v>1</v>
      </c>
      <c r="J143">
        <f t="shared" si="37"/>
        <v>1</v>
      </c>
      <c r="K143">
        <f t="shared" si="38"/>
        <v>1</v>
      </c>
      <c r="L143">
        <f t="shared" si="39"/>
        <v>1</v>
      </c>
      <c r="M143">
        <f t="shared" si="40"/>
        <v>7</v>
      </c>
      <c r="N143">
        <v>7</v>
      </c>
      <c r="R143">
        <f t="shared" si="41"/>
        <v>1</v>
      </c>
      <c r="S143">
        <f t="shared" si="42"/>
        <v>1</v>
      </c>
      <c r="T143">
        <f t="shared" si="43"/>
        <v>1</v>
      </c>
      <c r="U143">
        <f t="shared" si="44"/>
        <v>1</v>
      </c>
      <c r="V143">
        <f t="shared" si="45"/>
        <v>5</v>
      </c>
      <c r="W143">
        <v>5</v>
      </c>
      <c r="AA143">
        <f t="shared" si="46"/>
        <v>1</v>
      </c>
      <c r="AB143">
        <f t="shared" si="47"/>
        <v>1</v>
      </c>
      <c r="AC143">
        <f t="shared" si="48"/>
        <v>1</v>
      </c>
      <c r="AD143">
        <f t="shared" si="49"/>
        <v>1</v>
      </c>
    </row>
    <row r="144" spans="1:30" x14ac:dyDescent="0.2">
      <c r="A144" s="23"/>
      <c r="B144" t="s">
        <v>150</v>
      </c>
      <c r="C144">
        <f t="shared" si="34"/>
        <v>20</v>
      </c>
      <c r="D144">
        <f t="shared" si="35"/>
        <v>7</v>
      </c>
      <c r="E144">
        <v>7</v>
      </c>
      <c r="I144">
        <f t="shared" si="36"/>
        <v>1</v>
      </c>
      <c r="J144">
        <f t="shared" si="37"/>
        <v>1</v>
      </c>
      <c r="K144">
        <f t="shared" si="38"/>
        <v>1</v>
      </c>
      <c r="L144">
        <f t="shared" si="39"/>
        <v>1</v>
      </c>
      <c r="M144">
        <f t="shared" si="40"/>
        <v>6</v>
      </c>
      <c r="N144">
        <v>6</v>
      </c>
      <c r="R144">
        <f t="shared" si="41"/>
        <v>1</v>
      </c>
      <c r="S144">
        <f t="shared" si="42"/>
        <v>1</v>
      </c>
      <c r="T144">
        <f t="shared" si="43"/>
        <v>1</v>
      </c>
      <c r="U144">
        <f t="shared" si="44"/>
        <v>1</v>
      </c>
      <c r="V144">
        <f t="shared" si="45"/>
        <v>7</v>
      </c>
      <c r="W144">
        <v>7</v>
      </c>
      <c r="AA144">
        <f t="shared" si="46"/>
        <v>1</v>
      </c>
      <c r="AB144">
        <f t="shared" si="47"/>
        <v>1</v>
      </c>
      <c r="AC144">
        <f t="shared" si="48"/>
        <v>1</v>
      </c>
      <c r="AD144">
        <f t="shared" si="49"/>
        <v>1</v>
      </c>
    </row>
    <row r="145" spans="1:30" x14ac:dyDescent="0.2">
      <c r="A145" s="23"/>
      <c r="B145" t="s">
        <v>149</v>
      </c>
      <c r="C145">
        <f t="shared" si="34"/>
        <v>20</v>
      </c>
      <c r="D145">
        <f t="shared" si="35"/>
        <v>7</v>
      </c>
      <c r="E145">
        <v>7</v>
      </c>
      <c r="I145">
        <f t="shared" si="36"/>
        <v>1</v>
      </c>
      <c r="J145">
        <f t="shared" si="37"/>
        <v>1</v>
      </c>
      <c r="K145">
        <f t="shared" si="38"/>
        <v>1</v>
      </c>
      <c r="L145">
        <f t="shared" si="39"/>
        <v>1</v>
      </c>
      <c r="M145">
        <f t="shared" si="40"/>
        <v>7</v>
      </c>
      <c r="N145">
        <v>7</v>
      </c>
      <c r="R145">
        <f t="shared" si="41"/>
        <v>1</v>
      </c>
      <c r="S145">
        <f t="shared" si="42"/>
        <v>1</v>
      </c>
      <c r="T145">
        <f t="shared" si="43"/>
        <v>1</v>
      </c>
      <c r="U145">
        <f t="shared" si="44"/>
        <v>1</v>
      </c>
      <c r="V145">
        <f t="shared" si="45"/>
        <v>6</v>
      </c>
      <c r="W145">
        <v>6</v>
      </c>
      <c r="AA145">
        <f t="shared" si="46"/>
        <v>1</v>
      </c>
      <c r="AB145">
        <f t="shared" si="47"/>
        <v>1</v>
      </c>
      <c r="AC145">
        <f t="shared" si="48"/>
        <v>1</v>
      </c>
      <c r="AD145">
        <f t="shared" si="49"/>
        <v>1</v>
      </c>
    </row>
    <row r="146" spans="1:30" x14ac:dyDescent="0.2">
      <c r="A146" s="23"/>
      <c r="B146" t="s">
        <v>148</v>
      </c>
      <c r="C146">
        <f t="shared" si="34"/>
        <v>20</v>
      </c>
      <c r="D146">
        <f t="shared" si="35"/>
        <v>7</v>
      </c>
      <c r="E146">
        <v>7</v>
      </c>
      <c r="I146">
        <f t="shared" si="36"/>
        <v>1</v>
      </c>
      <c r="J146">
        <f t="shared" si="37"/>
        <v>1</v>
      </c>
      <c r="K146">
        <f t="shared" si="38"/>
        <v>1</v>
      </c>
      <c r="L146">
        <f t="shared" si="39"/>
        <v>1</v>
      </c>
      <c r="M146">
        <f t="shared" si="40"/>
        <v>5</v>
      </c>
      <c r="N146">
        <v>5</v>
      </c>
      <c r="R146">
        <f t="shared" si="41"/>
        <v>1</v>
      </c>
      <c r="S146">
        <f t="shared" si="42"/>
        <v>1</v>
      </c>
      <c r="T146">
        <f t="shared" si="43"/>
        <v>1</v>
      </c>
      <c r="U146">
        <f t="shared" si="44"/>
        <v>1</v>
      </c>
      <c r="V146">
        <f t="shared" si="45"/>
        <v>8</v>
      </c>
      <c r="W146">
        <v>8</v>
      </c>
      <c r="AA146">
        <f t="shared" si="46"/>
        <v>1</v>
      </c>
      <c r="AB146">
        <f t="shared" si="47"/>
        <v>1</v>
      </c>
      <c r="AC146">
        <f t="shared" si="48"/>
        <v>1</v>
      </c>
      <c r="AD146">
        <f t="shared" si="49"/>
        <v>1</v>
      </c>
    </row>
    <row r="147" spans="1:30" x14ac:dyDescent="0.2">
      <c r="A147" s="23"/>
      <c r="B147" t="s">
        <v>147</v>
      </c>
      <c r="C147">
        <f t="shared" si="34"/>
        <v>20</v>
      </c>
      <c r="D147">
        <f t="shared" si="35"/>
        <v>11</v>
      </c>
      <c r="E147">
        <v>11</v>
      </c>
      <c r="I147">
        <f t="shared" si="36"/>
        <v>1</v>
      </c>
      <c r="J147">
        <f t="shared" si="37"/>
        <v>1</v>
      </c>
      <c r="K147">
        <f t="shared" si="38"/>
        <v>1</v>
      </c>
      <c r="L147">
        <f t="shared" si="39"/>
        <v>1</v>
      </c>
      <c r="M147">
        <f t="shared" si="40"/>
        <v>5</v>
      </c>
      <c r="N147">
        <v>5</v>
      </c>
      <c r="R147">
        <f t="shared" si="41"/>
        <v>1</v>
      </c>
      <c r="S147">
        <f t="shared" si="42"/>
        <v>1</v>
      </c>
      <c r="T147">
        <f t="shared" si="43"/>
        <v>1</v>
      </c>
      <c r="U147">
        <f t="shared" si="44"/>
        <v>1</v>
      </c>
      <c r="V147">
        <f t="shared" si="45"/>
        <v>4</v>
      </c>
      <c r="W147">
        <v>4</v>
      </c>
      <c r="AA147">
        <f t="shared" si="46"/>
        <v>1</v>
      </c>
      <c r="AB147">
        <f t="shared" si="47"/>
        <v>1</v>
      </c>
      <c r="AC147">
        <f t="shared" si="48"/>
        <v>1</v>
      </c>
      <c r="AD147">
        <f t="shared" si="49"/>
        <v>1</v>
      </c>
    </row>
    <row r="148" spans="1:30" x14ac:dyDescent="0.2">
      <c r="A148" s="23"/>
      <c r="B148" t="s">
        <v>146</v>
      </c>
      <c r="C148">
        <f t="shared" si="34"/>
        <v>20</v>
      </c>
      <c r="D148">
        <f t="shared" si="35"/>
        <v>5</v>
      </c>
      <c r="E148">
        <v>4</v>
      </c>
      <c r="G148">
        <v>1</v>
      </c>
      <c r="I148">
        <f t="shared" si="36"/>
        <v>0.8</v>
      </c>
      <c r="J148">
        <f t="shared" si="37"/>
        <v>0.8</v>
      </c>
      <c r="K148">
        <f t="shared" si="38"/>
        <v>1</v>
      </c>
      <c r="L148">
        <f t="shared" si="39"/>
        <v>0.88888888888888895</v>
      </c>
      <c r="M148">
        <f t="shared" si="40"/>
        <v>1</v>
      </c>
      <c r="O148">
        <v>1</v>
      </c>
      <c r="R148">
        <f t="shared" si="41"/>
        <v>1</v>
      </c>
      <c r="S148" t="e">
        <f t="shared" si="42"/>
        <v>#DIV/0!</v>
      </c>
      <c r="T148" t="e">
        <f t="shared" si="43"/>
        <v>#DIV/0!</v>
      </c>
      <c r="U148" t="e">
        <f t="shared" si="44"/>
        <v>#DIV/0!</v>
      </c>
      <c r="V148">
        <f t="shared" si="45"/>
        <v>14</v>
      </c>
      <c r="W148">
        <v>13</v>
      </c>
      <c r="Y148">
        <v>1</v>
      </c>
      <c r="AA148">
        <f t="shared" si="46"/>
        <v>0.9285714285714286</v>
      </c>
      <c r="AB148">
        <f t="shared" si="47"/>
        <v>0.9285714285714286</v>
      </c>
      <c r="AC148">
        <f t="shared" si="48"/>
        <v>1</v>
      </c>
      <c r="AD148">
        <f t="shared" si="49"/>
        <v>0.96296296296296302</v>
      </c>
    </row>
    <row r="149" spans="1:30" x14ac:dyDescent="0.2">
      <c r="A149" s="23"/>
      <c r="B149" t="s">
        <v>145</v>
      </c>
      <c r="C149">
        <f t="shared" si="34"/>
        <v>20</v>
      </c>
      <c r="D149">
        <f t="shared" si="35"/>
        <v>9</v>
      </c>
      <c r="E149">
        <v>9</v>
      </c>
      <c r="I149">
        <f t="shared" si="36"/>
        <v>1</v>
      </c>
      <c r="J149">
        <f t="shared" si="37"/>
        <v>1</v>
      </c>
      <c r="K149">
        <f t="shared" si="38"/>
        <v>1</v>
      </c>
      <c r="L149">
        <f t="shared" si="39"/>
        <v>1</v>
      </c>
      <c r="M149">
        <f t="shared" si="40"/>
        <v>4</v>
      </c>
      <c r="N149">
        <v>4</v>
      </c>
      <c r="R149">
        <f t="shared" si="41"/>
        <v>1</v>
      </c>
      <c r="S149">
        <f t="shared" si="42"/>
        <v>1</v>
      </c>
      <c r="T149">
        <f t="shared" si="43"/>
        <v>1</v>
      </c>
      <c r="U149">
        <f t="shared" si="44"/>
        <v>1</v>
      </c>
      <c r="V149">
        <f t="shared" si="45"/>
        <v>7</v>
      </c>
      <c r="W149">
        <v>7</v>
      </c>
      <c r="AA149">
        <f t="shared" si="46"/>
        <v>1</v>
      </c>
      <c r="AB149">
        <f t="shared" si="47"/>
        <v>1</v>
      </c>
      <c r="AC149">
        <f t="shared" si="48"/>
        <v>1</v>
      </c>
      <c r="AD149">
        <f t="shared" si="49"/>
        <v>1</v>
      </c>
    </row>
    <row r="150" spans="1:30" x14ac:dyDescent="0.2">
      <c r="A150" s="23"/>
      <c r="B150" t="s">
        <v>144</v>
      </c>
      <c r="C150">
        <f t="shared" si="34"/>
        <v>20</v>
      </c>
      <c r="D150">
        <f t="shared" si="35"/>
        <v>7</v>
      </c>
      <c r="E150">
        <v>6</v>
      </c>
      <c r="H150">
        <v>1</v>
      </c>
      <c r="I150">
        <f t="shared" si="36"/>
        <v>0.8571428571428571</v>
      </c>
      <c r="J150">
        <f t="shared" si="37"/>
        <v>1</v>
      </c>
      <c r="K150">
        <f t="shared" si="38"/>
        <v>0.8571428571428571</v>
      </c>
      <c r="L150">
        <f t="shared" si="39"/>
        <v>0.92307692307692302</v>
      </c>
      <c r="M150">
        <f t="shared" si="40"/>
        <v>6</v>
      </c>
      <c r="N150">
        <v>6</v>
      </c>
      <c r="R150">
        <f t="shared" si="41"/>
        <v>1</v>
      </c>
      <c r="S150">
        <f t="shared" si="42"/>
        <v>1</v>
      </c>
      <c r="T150">
        <f t="shared" si="43"/>
        <v>1</v>
      </c>
      <c r="U150">
        <f t="shared" si="44"/>
        <v>1</v>
      </c>
      <c r="V150">
        <f t="shared" si="45"/>
        <v>7</v>
      </c>
      <c r="W150">
        <v>6</v>
      </c>
      <c r="Y150">
        <v>1</v>
      </c>
      <c r="AA150">
        <f t="shared" si="46"/>
        <v>0.8571428571428571</v>
      </c>
      <c r="AB150">
        <f t="shared" si="47"/>
        <v>0.8571428571428571</v>
      </c>
      <c r="AC150">
        <f t="shared" si="48"/>
        <v>1</v>
      </c>
      <c r="AD150">
        <f t="shared" si="49"/>
        <v>0.92307692307692302</v>
      </c>
    </row>
    <row r="151" spans="1:30" x14ac:dyDescent="0.2">
      <c r="A151" s="23"/>
      <c r="B151" t="s">
        <v>143</v>
      </c>
      <c r="C151">
        <f t="shared" si="34"/>
        <v>20</v>
      </c>
      <c r="D151">
        <f t="shared" si="35"/>
        <v>10</v>
      </c>
      <c r="E151">
        <v>10</v>
      </c>
      <c r="I151">
        <f t="shared" si="36"/>
        <v>1</v>
      </c>
      <c r="J151">
        <f t="shared" si="37"/>
        <v>1</v>
      </c>
      <c r="K151">
        <f t="shared" si="38"/>
        <v>1</v>
      </c>
      <c r="L151">
        <f t="shared" si="39"/>
        <v>1</v>
      </c>
      <c r="M151">
        <f t="shared" si="40"/>
        <v>1</v>
      </c>
      <c r="N151">
        <v>1</v>
      </c>
      <c r="R151">
        <f t="shared" si="41"/>
        <v>1</v>
      </c>
      <c r="S151">
        <f t="shared" si="42"/>
        <v>1</v>
      </c>
      <c r="T151">
        <f t="shared" si="43"/>
        <v>1</v>
      </c>
      <c r="U151">
        <f t="shared" si="44"/>
        <v>1</v>
      </c>
      <c r="V151">
        <f t="shared" si="45"/>
        <v>9</v>
      </c>
      <c r="W151">
        <v>9</v>
      </c>
      <c r="AA151">
        <f t="shared" si="46"/>
        <v>1</v>
      </c>
      <c r="AB151">
        <f t="shared" si="47"/>
        <v>1</v>
      </c>
      <c r="AC151">
        <f t="shared" si="48"/>
        <v>1</v>
      </c>
      <c r="AD151">
        <f t="shared" si="49"/>
        <v>1</v>
      </c>
    </row>
    <row r="152" spans="1:30" x14ac:dyDescent="0.2">
      <c r="A152" s="23"/>
      <c r="B152" t="s">
        <v>142</v>
      </c>
      <c r="C152">
        <f t="shared" si="34"/>
        <v>20</v>
      </c>
      <c r="D152">
        <f t="shared" si="35"/>
        <v>8</v>
      </c>
      <c r="E152">
        <v>8</v>
      </c>
      <c r="I152">
        <f t="shared" si="36"/>
        <v>1</v>
      </c>
      <c r="J152">
        <f t="shared" si="37"/>
        <v>1</v>
      </c>
      <c r="K152">
        <f t="shared" si="38"/>
        <v>1</v>
      </c>
      <c r="L152">
        <f t="shared" si="39"/>
        <v>1</v>
      </c>
      <c r="M152">
        <f t="shared" si="40"/>
        <v>2</v>
      </c>
      <c r="N152">
        <v>2</v>
      </c>
      <c r="R152">
        <f t="shared" si="41"/>
        <v>1</v>
      </c>
      <c r="S152">
        <f t="shared" si="42"/>
        <v>1</v>
      </c>
      <c r="T152">
        <f t="shared" si="43"/>
        <v>1</v>
      </c>
      <c r="U152">
        <f t="shared" si="44"/>
        <v>1</v>
      </c>
      <c r="V152">
        <f t="shared" si="45"/>
        <v>10</v>
      </c>
      <c r="W152">
        <v>10</v>
      </c>
      <c r="AA152">
        <f t="shared" si="46"/>
        <v>1</v>
      </c>
      <c r="AB152">
        <f t="shared" si="47"/>
        <v>1</v>
      </c>
      <c r="AC152">
        <f t="shared" si="48"/>
        <v>1</v>
      </c>
      <c r="AD152">
        <f t="shared" si="49"/>
        <v>1</v>
      </c>
    </row>
    <row r="153" spans="1:30" x14ac:dyDescent="0.2">
      <c r="A153" s="23"/>
      <c r="B153" t="s">
        <v>141</v>
      </c>
      <c r="C153">
        <f t="shared" si="34"/>
        <v>20</v>
      </c>
      <c r="D153">
        <f t="shared" si="35"/>
        <v>8</v>
      </c>
      <c r="E153">
        <v>8</v>
      </c>
      <c r="I153">
        <f t="shared" si="36"/>
        <v>1</v>
      </c>
      <c r="J153">
        <f t="shared" si="37"/>
        <v>1</v>
      </c>
      <c r="K153">
        <f t="shared" si="38"/>
        <v>1</v>
      </c>
      <c r="L153">
        <f t="shared" si="39"/>
        <v>1</v>
      </c>
      <c r="M153">
        <f t="shared" si="40"/>
        <v>8</v>
      </c>
      <c r="N153">
        <v>8</v>
      </c>
      <c r="R153">
        <f t="shared" si="41"/>
        <v>1</v>
      </c>
      <c r="S153">
        <f t="shared" si="42"/>
        <v>1</v>
      </c>
      <c r="T153">
        <f t="shared" si="43"/>
        <v>1</v>
      </c>
      <c r="U153">
        <f t="shared" si="44"/>
        <v>1</v>
      </c>
      <c r="V153">
        <f t="shared" si="45"/>
        <v>4</v>
      </c>
      <c r="W153">
        <v>4</v>
      </c>
      <c r="AA153">
        <f t="shared" si="46"/>
        <v>1</v>
      </c>
      <c r="AB153">
        <f t="shared" si="47"/>
        <v>1</v>
      </c>
      <c r="AC153">
        <f t="shared" si="48"/>
        <v>1</v>
      </c>
      <c r="AD153">
        <f t="shared" si="49"/>
        <v>1</v>
      </c>
    </row>
    <row r="154" spans="1:30" x14ac:dyDescent="0.2">
      <c r="A154" s="23"/>
      <c r="B154" t="s">
        <v>140</v>
      </c>
      <c r="C154">
        <f t="shared" si="34"/>
        <v>20</v>
      </c>
      <c r="D154">
        <f t="shared" si="35"/>
        <v>8</v>
      </c>
      <c r="E154">
        <v>8</v>
      </c>
      <c r="I154">
        <f t="shared" si="36"/>
        <v>1</v>
      </c>
      <c r="J154">
        <f t="shared" si="37"/>
        <v>1</v>
      </c>
      <c r="K154">
        <f t="shared" si="38"/>
        <v>1</v>
      </c>
      <c r="L154">
        <f t="shared" si="39"/>
        <v>1</v>
      </c>
      <c r="M154">
        <f t="shared" si="40"/>
        <v>4</v>
      </c>
      <c r="N154">
        <v>4</v>
      </c>
      <c r="R154">
        <f t="shared" si="41"/>
        <v>1</v>
      </c>
      <c r="S154">
        <f t="shared" si="42"/>
        <v>1</v>
      </c>
      <c r="T154">
        <f t="shared" si="43"/>
        <v>1</v>
      </c>
      <c r="U154">
        <f t="shared" si="44"/>
        <v>1</v>
      </c>
      <c r="V154">
        <f t="shared" si="45"/>
        <v>8</v>
      </c>
      <c r="W154">
        <v>8</v>
      </c>
      <c r="AA154">
        <f t="shared" si="46"/>
        <v>1</v>
      </c>
      <c r="AB154">
        <f t="shared" si="47"/>
        <v>1</v>
      </c>
      <c r="AC154">
        <f t="shared" si="48"/>
        <v>1</v>
      </c>
      <c r="AD154">
        <f t="shared" si="49"/>
        <v>1</v>
      </c>
    </row>
    <row r="155" spans="1:30" x14ac:dyDescent="0.2">
      <c r="A155" s="23"/>
      <c r="B155" t="s">
        <v>139</v>
      </c>
      <c r="C155">
        <f t="shared" si="34"/>
        <v>20</v>
      </c>
      <c r="D155">
        <f t="shared" si="35"/>
        <v>9</v>
      </c>
      <c r="E155">
        <v>9</v>
      </c>
      <c r="I155">
        <f t="shared" si="36"/>
        <v>1</v>
      </c>
      <c r="J155">
        <f t="shared" si="37"/>
        <v>1</v>
      </c>
      <c r="K155">
        <f t="shared" si="38"/>
        <v>1</v>
      </c>
      <c r="L155">
        <f t="shared" si="39"/>
        <v>1</v>
      </c>
      <c r="M155">
        <f t="shared" si="40"/>
        <v>4</v>
      </c>
      <c r="N155">
        <v>4</v>
      </c>
      <c r="R155">
        <f t="shared" si="41"/>
        <v>1</v>
      </c>
      <c r="S155">
        <f t="shared" si="42"/>
        <v>1</v>
      </c>
      <c r="T155">
        <f t="shared" si="43"/>
        <v>1</v>
      </c>
      <c r="U155">
        <f t="shared" si="44"/>
        <v>1</v>
      </c>
      <c r="V155">
        <f t="shared" si="45"/>
        <v>7</v>
      </c>
      <c r="W155">
        <v>7</v>
      </c>
      <c r="AA155">
        <f t="shared" si="46"/>
        <v>1</v>
      </c>
      <c r="AB155">
        <f t="shared" si="47"/>
        <v>1</v>
      </c>
      <c r="AC155">
        <f t="shared" si="48"/>
        <v>1</v>
      </c>
      <c r="AD155">
        <f t="shared" si="49"/>
        <v>1</v>
      </c>
    </row>
    <row r="156" spans="1:30" x14ac:dyDescent="0.2">
      <c r="A156" s="23"/>
      <c r="B156" t="s">
        <v>138</v>
      </c>
      <c r="C156">
        <f t="shared" si="34"/>
        <v>20</v>
      </c>
      <c r="D156">
        <f t="shared" si="35"/>
        <v>9</v>
      </c>
      <c r="E156">
        <v>9</v>
      </c>
      <c r="I156">
        <f t="shared" si="36"/>
        <v>1</v>
      </c>
      <c r="J156">
        <f t="shared" si="37"/>
        <v>1</v>
      </c>
      <c r="K156">
        <f t="shared" si="38"/>
        <v>1</v>
      </c>
      <c r="L156">
        <f t="shared" si="39"/>
        <v>1</v>
      </c>
      <c r="M156">
        <f t="shared" si="40"/>
        <v>5</v>
      </c>
      <c r="N156">
        <v>4</v>
      </c>
      <c r="Q156">
        <v>1</v>
      </c>
      <c r="R156">
        <f t="shared" si="41"/>
        <v>0.8</v>
      </c>
      <c r="S156">
        <f t="shared" si="42"/>
        <v>1</v>
      </c>
      <c r="T156">
        <f t="shared" si="43"/>
        <v>0.8</v>
      </c>
      <c r="U156">
        <f t="shared" si="44"/>
        <v>0.88888888888888895</v>
      </c>
      <c r="V156">
        <f t="shared" si="45"/>
        <v>6</v>
      </c>
      <c r="W156">
        <v>6</v>
      </c>
      <c r="AA156">
        <f t="shared" si="46"/>
        <v>1</v>
      </c>
      <c r="AB156">
        <f t="shared" si="47"/>
        <v>1</v>
      </c>
      <c r="AC156">
        <f t="shared" si="48"/>
        <v>1</v>
      </c>
      <c r="AD156">
        <f t="shared" si="49"/>
        <v>1</v>
      </c>
    </row>
    <row r="157" spans="1:30" x14ac:dyDescent="0.2">
      <c r="A157" s="23"/>
      <c r="B157" t="s">
        <v>137</v>
      </c>
      <c r="C157">
        <f t="shared" si="34"/>
        <v>20</v>
      </c>
      <c r="D157">
        <f t="shared" si="35"/>
        <v>9</v>
      </c>
      <c r="E157">
        <v>8</v>
      </c>
      <c r="G157">
        <v>1</v>
      </c>
      <c r="I157">
        <f t="shared" si="36"/>
        <v>0.88888888888888884</v>
      </c>
      <c r="J157">
        <f t="shared" si="37"/>
        <v>0.88888888888888884</v>
      </c>
      <c r="K157">
        <f t="shared" si="38"/>
        <v>1</v>
      </c>
      <c r="L157">
        <f t="shared" si="39"/>
        <v>0.94117647058823528</v>
      </c>
      <c r="M157">
        <f t="shared" si="40"/>
        <v>0</v>
      </c>
      <c r="R157" t="e">
        <f t="shared" si="41"/>
        <v>#DIV/0!</v>
      </c>
      <c r="S157" t="e">
        <f t="shared" si="42"/>
        <v>#DIV/0!</v>
      </c>
      <c r="T157" t="e">
        <f t="shared" si="43"/>
        <v>#DIV/0!</v>
      </c>
      <c r="U157" t="e">
        <f t="shared" si="44"/>
        <v>#DIV/0!</v>
      </c>
      <c r="V157">
        <f t="shared" si="45"/>
        <v>11</v>
      </c>
      <c r="W157">
        <v>11</v>
      </c>
      <c r="AA157">
        <f t="shared" si="46"/>
        <v>1</v>
      </c>
      <c r="AB157">
        <f t="shared" si="47"/>
        <v>1</v>
      </c>
      <c r="AC157">
        <f t="shared" si="48"/>
        <v>1</v>
      </c>
      <c r="AD157">
        <f t="shared" si="49"/>
        <v>1</v>
      </c>
    </row>
    <row r="158" spans="1:30" x14ac:dyDescent="0.2">
      <c r="A158" s="23"/>
      <c r="B158" t="s">
        <v>136</v>
      </c>
      <c r="C158">
        <f t="shared" si="34"/>
        <v>20</v>
      </c>
      <c r="D158">
        <f t="shared" si="35"/>
        <v>7</v>
      </c>
      <c r="E158">
        <v>7</v>
      </c>
      <c r="I158">
        <f t="shared" si="36"/>
        <v>1</v>
      </c>
      <c r="J158">
        <f t="shared" si="37"/>
        <v>1</v>
      </c>
      <c r="K158">
        <f t="shared" si="38"/>
        <v>1</v>
      </c>
      <c r="L158">
        <f t="shared" si="39"/>
        <v>1</v>
      </c>
      <c r="M158">
        <f t="shared" si="40"/>
        <v>6</v>
      </c>
      <c r="N158">
        <v>5</v>
      </c>
      <c r="O158">
        <v>1</v>
      </c>
      <c r="R158">
        <f t="shared" si="41"/>
        <v>1</v>
      </c>
      <c r="S158">
        <f t="shared" si="42"/>
        <v>1</v>
      </c>
      <c r="T158">
        <f t="shared" si="43"/>
        <v>1</v>
      </c>
      <c r="U158">
        <f t="shared" si="44"/>
        <v>1</v>
      </c>
      <c r="V158">
        <f t="shared" si="45"/>
        <v>7</v>
      </c>
      <c r="W158">
        <v>7</v>
      </c>
      <c r="AA158">
        <f t="shared" si="46"/>
        <v>1</v>
      </c>
      <c r="AB158">
        <f t="shared" si="47"/>
        <v>1</v>
      </c>
      <c r="AC158">
        <f t="shared" si="48"/>
        <v>1</v>
      </c>
      <c r="AD158">
        <f t="shared" si="49"/>
        <v>1</v>
      </c>
    </row>
    <row r="159" spans="1:30" x14ac:dyDescent="0.2">
      <c r="A159" s="23"/>
      <c r="B159" t="s">
        <v>135</v>
      </c>
      <c r="C159">
        <f t="shared" si="34"/>
        <v>20</v>
      </c>
      <c r="D159">
        <f t="shared" si="35"/>
        <v>10</v>
      </c>
      <c r="E159">
        <v>10</v>
      </c>
      <c r="I159">
        <f t="shared" si="36"/>
        <v>1</v>
      </c>
      <c r="J159">
        <f t="shared" si="37"/>
        <v>1</v>
      </c>
      <c r="K159">
        <f t="shared" si="38"/>
        <v>1</v>
      </c>
      <c r="L159">
        <f t="shared" si="39"/>
        <v>1</v>
      </c>
      <c r="M159">
        <f t="shared" si="40"/>
        <v>5</v>
      </c>
      <c r="N159">
        <v>5</v>
      </c>
      <c r="R159">
        <f t="shared" si="41"/>
        <v>1</v>
      </c>
      <c r="S159">
        <f t="shared" si="42"/>
        <v>1</v>
      </c>
      <c r="T159">
        <f t="shared" si="43"/>
        <v>1</v>
      </c>
      <c r="U159">
        <f t="shared" si="44"/>
        <v>1</v>
      </c>
      <c r="V159">
        <f t="shared" si="45"/>
        <v>5</v>
      </c>
      <c r="W159">
        <v>5</v>
      </c>
      <c r="AA159">
        <f t="shared" si="46"/>
        <v>1</v>
      </c>
      <c r="AB159">
        <f t="shared" si="47"/>
        <v>1</v>
      </c>
      <c r="AC159">
        <f t="shared" si="48"/>
        <v>1</v>
      </c>
      <c r="AD159">
        <f t="shared" si="49"/>
        <v>1</v>
      </c>
    </row>
    <row r="160" spans="1:30" x14ac:dyDescent="0.2">
      <c r="A160" s="23"/>
      <c r="B160" t="s">
        <v>134</v>
      </c>
      <c r="C160">
        <f t="shared" si="34"/>
        <v>20</v>
      </c>
      <c r="D160">
        <f t="shared" si="35"/>
        <v>8</v>
      </c>
      <c r="E160">
        <v>8</v>
      </c>
      <c r="I160">
        <f t="shared" si="36"/>
        <v>1</v>
      </c>
      <c r="J160">
        <f t="shared" si="37"/>
        <v>1</v>
      </c>
      <c r="K160">
        <f t="shared" si="38"/>
        <v>1</v>
      </c>
      <c r="L160">
        <f t="shared" si="39"/>
        <v>1</v>
      </c>
      <c r="M160">
        <f t="shared" si="40"/>
        <v>6</v>
      </c>
      <c r="N160">
        <v>6</v>
      </c>
      <c r="R160">
        <f t="shared" si="41"/>
        <v>1</v>
      </c>
      <c r="S160">
        <f t="shared" si="42"/>
        <v>1</v>
      </c>
      <c r="T160">
        <f t="shared" si="43"/>
        <v>1</v>
      </c>
      <c r="U160">
        <f t="shared" si="44"/>
        <v>1</v>
      </c>
      <c r="V160">
        <f t="shared" si="45"/>
        <v>6</v>
      </c>
      <c r="W160">
        <v>6</v>
      </c>
      <c r="AA160">
        <f t="shared" si="46"/>
        <v>1</v>
      </c>
      <c r="AB160">
        <f t="shared" si="47"/>
        <v>1</v>
      </c>
      <c r="AC160">
        <f t="shared" si="48"/>
        <v>1</v>
      </c>
      <c r="AD160">
        <f t="shared" si="49"/>
        <v>1</v>
      </c>
    </row>
    <row r="161" spans="1:30" x14ac:dyDescent="0.2">
      <c r="A161" s="23"/>
      <c r="B161" t="s">
        <v>133</v>
      </c>
      <c r="C161">
        <f t="shared" si="34"/>
        <v>17</v>
      </c>
      <c r="D161">
        <f t="shared" si="35"/>
        <v>7</v>
      </c>
      <c r="E161">
        <v>7</v>
      </c>
      <c r="I161">
        <f t="shared" si="36"/>
        <v>1</v>
      </c>
      <c r="J161">
        <f t="shared" si="37"/>
        <v>1</v>
      </c>
      <c r="K161">
        <f t="shared" si="38"/>
        <v>1</v>
      </c>
      <c r="L161">
        <f t="shared" si="39"/>
        <v>1</v>
      </c>
      <c r="M161">
        <f t="shared" si="40"/>
        <v>4</v>
      </c>
      <c r="N161">
        <v>3</v>
      </c>
      <c r="P161">
        <v>1</v>
      </c>
      <c r="R161">
        <f t="shared" si="41"/>
        <v>0.75</v>
      </c>
      <c r="S161">
        <f t="shared" si="42"/>
        <v>0.75</v>
      </c>
      <c r="T161">
        <f t="shared" si="43"/>
        <v>1</v>
      </c>
      <c r="U161">
        <f t="shared" si="44"/>
        <v>0.8571428571428571</v>
      </c>
      <c r="V161">
        <f t="shared" si="45"/>
        <v>6</v>
      </c>
      <c r="W161">
        <v>6</v>
      </c>
      <c r="AA161">
        <f t="shared" si="46"/>
        <v>1</v>
      </c>
      <c r="AB161">
        <f t="shared" si="47"/>
        <v>1</v>
      </c>
      <c r="AC161">
        <f t="shared" si="48"/>
        <v>1</v>
      </c>
      <c r="AD161">
        <f t="shared" si="49"/>
        <v>1</v>
      </c>
    </row>
    <row r="162" spans="1:30" x14ac:dyDescent="0.2">
      <c r="A162" s="23"/>
      <c r="B162" t="s">
        <v>132</v>
      </c>
      <c r="C162">
        <f t="shared" si="34"/>
        <v>20</v>
      </c>
      <c r="D162">
        <f t="shared" si="35"/>
        <v>10</v>
      </c>
      <c r="E162">
        <v>10</v>
      </c>
      <c r="I162">
        <f t="shared" si="36"/>
        <v>1</v>
      </c>
      <c r="J162">
        <f t="shared" si="37"/>
        <v>1</v>
      </c>
      <c r="K162">
        <f t="shared" si="38"/>
        <v>1</v>
      </c>
      <c r="L162">
        <f t="shared" si="39"/>
        <v>1</v>
      </c>
      <c r="M162">
        <f t="shared" si="40"/>
        <v>5</v>
      </c>
      <c r="N162">
        <v>5</v>
      </c>
      <c r="R162">
        <f t="shared" si="41"/>
        <v>1</v>
      </c>
      <c r="S162">
        <f t="shared" si="42"/>
        <v>1</v>
      </c>
      <c r="T162">
        <f t="shared" si="43"/>
        <v>1</v>
      </c>
      <c r="U162">
        <f t="shared" si="44"/>
        <v>1</v>
      </c>
      <c r="V162">
        <f t="shared" si="45"/>
        <v>5</v>
      </c>
      <c r="W162">
        <v>5</v>
      </c>
      <c r="AA162">
        <f t="shared" si="46"/>
        <v>1</v>
      </c>
      <c r="AB162">
        <f t="shared" si="47"/>
        <v>1</v>
      </c>
      <c r="AC162">
        <f t="shared" si="48"/>
        <v>1</v>
      </c>
      <c r="AD162">
        <f t="shared" si="49"/>
        <v>1</v>
      </c>
    </row>
    <row r="163" spans="1:30" x14ac:dyDescent="0.2">
      <c r="A163" s="23"/>
      <c r="B163" t="s">
        <v>131</v>
      </c>
      <c r="C163">
        <f t="shared" si="34"/>
        <v>20</v>
      </c>
      <c r="D163">
        <f t="shared" si="35"/>
        <v>9</v>
      </c>
      <c r="E163">
        <v>8</v>
      </c>
      <c r="G163">
        <v>1</v>
      </c>
      <c r="I163">
        <f t="shared" si="36"/>
        <v>0.88888888888888884</v>
      </c>
      <c r="J163">
        <f t="shared" si="37"/>
        <v>0.88888888888888884</v>
      </c>
      <c r="K163">
        <f t="shared" si="38"/>
        <v>1</v>
      </c>
      <c r="L163">
        <f t="shared" si="39"/>
        <v>0.94117647058823528</v>
      </c>
      <c r="M163">
        <f t="shared" si="40"/>
        <v>0</v>
      </c>
      <c r="R163" t="e">
        <f t="shared" si="41"/>
        <v>#DIV/0!</v>
      </c>
      <c r="S163" t="e">
        <f t="shared" si="42"/>
        <v>#DIV/0!</v>
      </c>
      <c r="T163" t="e">
        <f t="shared" si="43"/>
        <v>#DIV/0!</v>
      </c>
      <c r="U163" t="e">
        <f t="shared" si="44"/>
        <v>#DIV/0!</v>
      </c>
      <c r="V163">
        <f t="shared" si="45"/>
        <v>11</v>
      </c>
      <c r="W163">
        <v>11</v>
      </c>
      <c r="AA163">
        <f t="shared" si="46"/>
        <v>1</v>
      </c>
      <c r="AB163">
        <f t="shared" si="47"/>
        <v>1</v>
      </c>
      <c r="AC163">
        <f t="shared" si="48"/>
        <v>1</v>
      </c>
      <c r="AD163">
        <f t="shared" si="49"/>
        <v>1</v>
      </c>
    </row>
    <row r="164" spans="1:30" x14ac:dyDescent="0.2">
      <c r="A164" s="23"/>
      <c r="B164" t="s">
        <v>130</v>
      </c>
      <c r="C164">
        <f t="shared" si="34"/>
        <v>20</v>
      </c>
      <c r="D164">
        <f t="shared" si="35"/>
        <v>6</v>
      </c>
      <c r="E164">
        <v>6</v>
      </c>
      <c r="I164">
        <f t="shared" si="36"/>
        <v>1</v>
      </c>
      <c r="J164">
        <f t="shared" si="37"/>
        <v>1</v>
      </c>
      <c r="K164">
        <f t="shared" si="38"/>
        <v>1</v>
      </c>
      <c r="L164">
        <f t="shared" si="39"/>
        <v>1</v>
      </c>
      <c r="M164">
        <f t="shared" si="40"/>
        <v>6</v>
      </c>
      <c r="N164">
        <v>6</v>
      </c>
      <c r="R164">
        <f t="shared" si="41"/>
        <v>1</v>
      </c>
      <c r="S164">
        <f t="shared" si="42"/>
        <v>1</v>
      </c>
      <c r="T164">
        <f t="shared" si="43"/>
        <v>1</v>
      </c>
      <c r="U164">
        <f t="shared" si="44"/>
        <v>1</v>
      </c>
      <c r="V164">
        <f t="shared" si="45"/>
        <v>8</v>
      </c>
      <c r="W164">
        <v>7</v>
      </c>
      <c r="Y164">
        <v>1</v>
      </c>
      <c r="AA164">
        <f t="shared" si="46"/>
        <v>0.875</v>
      </c>
      <c r="AB164">
        <f t="shared" si="47"/>
        <v>0.875</v>
      </c>
      <c r="AC164">
        <f t="shared" si="48"/>
        <v>1</v>
      </c>
      <c r="AD164">
        <f t="shared" si="49"/>
        <v>0.93333333333333335</v>
      </c>
    </row>
    <row r="165" spans="1:30" x14ac:dyDescent="0.2">
      <c r="A165" s="23"/>
      <c r="B165" t="s">
        <v>129</v>
      </c>
      <c r="C165">
        <f t="shared" si="34"/>
        <v>20</v>
      </c>
      <c r="D165">
        <f t="shared" si="35"/>
        <v>8</v>
      </c>
      <c r="E165">
        <v>6</v>
      </c>
      <c r="H165">
        <v>2</v>
      </c>
      <c r="I165">
        <f t="shared" si="36"/>
        <v>0.75</v>
      </c>
      <c r="J165">
        <f t="shared" si="37"/>
        <v>1</v>
      </c>
      <c r="K165">
        <f t="shared" si="38"/>
        <v>0.75</v>
      </c>
      <c r="L165">
        <f t="shared" si="39"/>
        <v>0.8571428571428571</v>
      </c>
      <c r="M165">
        <f t="shared" si="40"/>
        <v>0</v>
      </c>
      <c r="R165" t="e">
        <f t="shared" si="41"/>
        <v>#DIV/0!</v>
      </c>
      <c r="S165" t="e">
        <f t="shared" si="42"/>
        <v>#DIV/0!</v>
      </c>
      <c r="T165" t="e">
        <f t="shared" si="43"/>
        <v>#DIV/0!</v>
      </c>
      <c r="U165" t="e">
        <f t="shared" si="44"/>
        <v>#DIV/0!</v>
      </c>
      <c r="V165">
        <f t="shared" si="45"/>
        <v>12</v>
      </c>
      <c r="W165">
        <v>12</v>
      </c>
      <c r="AA165">
        <f t="shared" si="46"/>
        <v>1</v>
      </c>
      <c r="AB165">
        <f t="shared" si="47"/>
        <v>1</v>
      </c>
      <c r="AC165">
        <f t="shared" si="48"/>
        <v>1</v>
      </c>
      <c r="AD165">
        <f t="shared" si="49"/>
        <v>1</v>
      </c>
    </row>
    <row r="166" spans="1:30" x14ac:dyDescent="0.2">
      <c r="A166" s="23"/>
      <c r="B166" t="s">
        <v>128</v>
      </c>
      <c r="C166">
        <f t="shared" si="34"/>
        <v>20</v>
      </c>
      <c r="D166">
        <f t="shared" si="35"/>
        <v>7</v>
      </c>
      <c r="E166">
        <v>7</v>
      </c>
      <c r="I166">
        <f t="shared" si="36"/>
        <v>1</v>
      </c>
      <c r="J166">
        <f t="shared" si="37"/>
        <v>1</v>
      </c>
      <c r="K166">
        <f t="shared" si="38"/>
        <v>1</v>
      </c>
      <c r="L166">
        <f t="shared" si="39"/>
        <v>1</v>
      </c>
      <c r="M166">
        <f t="shared" si="40"/>
        <v>5</v>
      </c>
      <c r="N166">
        <v>4</v>
      </c>
      <c r="P166">
        <v>1</v>
      </c>
      <c r="R166">
        <f t="shared" si="41"/>
        <v>0.8</v>
      </c>
      <c r="S166">
        <f t="shared" si="42"/>
        <v>0.8</v>
      </c>
      <c r="T166">
        <f t="shared" si="43"/>
        <v>1</v>
      </c>
      <c r="U166">
        <f t="shared" si="44"/>
        <v>0.88888888888888895</v>
      </c>
      <c r="V166">
        <f t="shared" si="45"/>
        <v>8</v>
      </c>
      <c r="W166">
        <v>7</v>
      </c>
      <c r="Y166">
        <v>1</v>
      </c>
      <c r="AA166">
        <f t="shared" si="46"/>
        <v>0.875</v>
      </c>
      <c r="AB166">
        <f t="shared" si="47"/>
        <v>0.875</v>
      </c>
      <c r="AC166">
        <f t="shared" si="48"/>
        <v>1</v>
      </c>
      <c r="AD166">
        <f t="shared" si="49"/>
        <v>0.93333333333333335</v>
      </c>
    </row>
    <row r="167" spans="1:30" x14ac:dyDescent="0.2">
      <c r="A167" s="23"/>
      <c r="B167" t="s">
        <v>127</v>
      </c>
      <c r="C167">
        <f t="shared" si="34"/>
        <v>20</v>
      </c>
      <c r="D167">
        <f t="shared" si="35"/>
        <v>7</v>
      </c>
      <c r="E167">
        <v>7</v>
      </c>
      <c r="I167">
        <f t="shared" si="36"/>
        <v>1</v>
      </c>
      <c r="J167">
        <f t="shared" si="37"/>
        <v>1</v>
      </c>
      <c r="K167">
        <f t="shared" si="38"/>
        <v>1</v>
      </c>
      <c r="L167">
        <f t="shared" si="39"/>
        <v>1</v>
      </c>
      <c r="M167">
        <f t="shared" si="40"/>
        <v>7</v>
      </c>
      <c r="N167">
        <v>6</v>
      </c>
      <c r="P167">
        <v>1</v>
      </c>
      <c r="R167">
        <f t="shared" si="41"/>
        <v>0.8571428571428571</v>
      </c>
      <c r="S167">
        <f t="shared" si="42"/>
        <v>0.8571428571428571</v>
      </c>
      <c r="T167">
        <f t="shared" si="43"/>
        <v>1</v>
      </c>
      <c r="U167">
        <f t="shared" si="44"/>
        <v>0.92307692307692302</v>
      </c>
      <c r="V167">
        <f t="shared" si="45"/>
        <v>6</v>
      </c>
      <c r="W167">
        <v>5</v>
      </c>
      <c r="Y167">
        <v>1</v>
      </c>
      <c r="AA167">
        <f t="shared" si="46"/>
        <v>0.83333333333333337</v>
      </c>
      <c r="AB167">
        <f t="shared" si="47"/>
        <v>0.83333333333333337</v>
      </c>
      <c r="AC167">
        <f t="shared" si="48"/>
        <v>1</v>
      </c>
      <c r="AD167">
        <f t="shared" si="49"/>
        <v>0.90909090909090906</v>
      </c>
    </row>
    <row r="168" spans="1:30" x14ac:dyDescent="0.2">
      <c r="A168" s="23"/>
      <c r="B168" t="s">
        <v>126</v>
      </c>
      <c r="C168">
        <f t="shared" si="34"/>
        <v>20</v>
      </c>
      <c r="D168">
        <f t="shared" si="35"/>
        <v>8</v>
      </c>
      <c r="E168">
        <v>8</v>
      </c>
      <c r="I168">
        <f t="shared" si="36"/>
        <v>1</v>
      </c>
      <c r="J168">
        <f t="shared" si="37"/>
        <v>1</v>
      </c>
      <c r="K168">
        <f t="shared" si="38"/>
        <v>1</v>
      </c>
      <c r="L168">
        <f t="shared" si="39"/>
        <v>1</v>
      </c>
      <c r="M168">
        <f t="shared" si="40"/>
        <v>5</v>
      </c>
      <c r="N168">
        <v>5</v>
      </c>
      <c r="R168">
        <f t="shared" si="41"/>
        <v>1</v>
      </c>
      <c r="S168">
        <f t="shared" si="42"/>
        <v>1</v>
      </c>
      <c r="T168">
        <f t="shared" si="43"/>
        <v>1</v>
      </c>
      <c r="U168">
        <f t="shared" si="44"/>
        <v>1</v>
      </c>
      <c r="V168">
        <f t="shared" si="45"/>
        <v>7</v>
      </c>
      <c r="W168">
        <v>7</v>
      </c>
      <c r="AA168">
        <f t="shared" si="46"/>
        <v>1</v>
      </c>
      <c r="AB168">
        <f t="shared" si="47"/>
        <v>1</v>
      </c>
      <c r="AC168">
        <f t="shared" si="48"/>
        <v>1</v>
      </c>
      <c r="AD168">
        <f t="shared" si="49"/>
        <v>1</v>
      </c>
    </row>
    <row r="169" spans="1:30" x14ac:dyDescent="0.2">
      <c r="A169" s="23"/>
      <c r="B169" t="s">
        <v>125</v>
      </c>
      <c r="C169">
        <f t="shared" si="34"/>
        <v>20</v>
      </c>
      <c r="D169">
        <f t="shared" si="35"/>
        <v>7</v>
      </c>
      <c r="E169">
        <v>7</v>
      </c>
      <c r="I169">
        <f t="shared" si="36"/>
        <v>1</v>
      </c>
      <c r="J169">
        <f t="shared" si="37"/>
        <v>1</v>
      </c>
      <c r="K169">
        <f t="shared" si="38"/>
        <v>1</v>
      </c>
      <c r="L169">
        <f t="shared" si="39"/>
        <v>1</v>
      </c>
      <c r="M169">
        <f t="shared" si="40"/>
        <v>5</v>
      </c>
      <c r="N169">
        <v>5</v>
      </c>
      <c r="R169">
        <f t="shared" si="41"/>
        <v>1</v>
      </c>
      <c r="S169">
        <f t="shared" si="42"/>
        <v>1</v>
      </c>
      <c r="T169">
        <f t="shared" si="43"/>
        <v>1</v>
      </c>
      <c r="U169">
        <f t="shared" si="44"/>
        <v>1</v>
      </c>
      <c r="V169">
        <f t="shared" si="45"/>
        <v>8</v>
      </c>
      <c r="W169">
        <v>8</v>
      </c>
      <c r="AA169">
        <f t="shared" si="46"/>
        <v>1</v>
      </c>
      <c r="AB169">
        <f t="shared" si="47"/>
        <v>1</v>
      </c>
      <c r="AC169">
        <f t="shared" si="48"/>
        <v>1</v>
      </c>
      <c r="AD169">
        <f t="shared" si="49"/>
        <v>1</v>
      </c>
    </row>
    <row r="170" spans="1:30" x14ac:dyDescent="0.2">
      <c r="A170" s="23"/>
      <c r="B170" t="s">
        <v>124</v>
      </c>
      <c r="C170">
        <f t="shared" si="34"/>
        <v>20</v>
      </c>
      <c r="D170">
        <f t="shared" si="35"/>
        <v>7</v>
      </c>
      <c r="E170">
        <v>7</v>
      </c>
      <c r="I170">
        <f t="shared" si="36"/>
        <v>1</v>
      </c>
      <c r="J170">
        <f t="shared" si="37"/>
        <v>1</v>
      </c>
      <c r="K170">
        <f t="shared" si="38"/>
        <v>1</v>
      </c>
      <c r="L170">
        <f t="shared" si="39"/>
        <v>1</v>
      </c>
      <c r="M170">
        <f t="shared" si="40"/>
        <v>5</v>
      </c>
      <c r="N170">
        <v>5</v>
      </c>
      <c r="R170">
        <f t="shared" si="41"/>
        <v>1</v>
      </c>
      <c r="S170">
        <f t="shared" si="42"/>
        <v>1</v>
      </c>
      <c r="T170">
        <f t="shared" si="43"/>
        <v>1</v>
      </c>
      <c r="U170">
        <f t="shared" si="44"/>
        <v>1</v>
      </c>
      <c r="V170">
        <f t="shared" si="45"/>
        <v>8</v>
      </c>
      <c r="W170">
        <v>8</v>
      </c>
      <c r="AA170">
        <f t="shared" si="46"/>
        <v>1</v>
      </c>
      <c r="AB170">
        <f t="shared" si="47"/>
        <v>1</v>
      </c>
      <c r="AC170">
        <f t="shared" si="48"/>
        <v>1</v>
      </c>
      <c r="AD170">
        <f t="shared" si="49"/>
        <v>1</v>
      </c>
    </row>
    <row r="171" spans="1:30" x14ac:dyDescent="0.2">
      <c r="A171" s="23"/>
      <c r="B171" t="s">
        <v>123</v>
      </c>
      <c r="C171">
        <f t="shared" si="34"/>
        <v>20</v>
      </c>
      <c r="D171">
        <f t="shared" si="35"/>
        <v>7</v>
      </c>
      <c r="E171">
        <v>7</v>
      </c>
      <c r="I171">
        <f t="shared" si="36"/>
        <v>1</v>
      </c>
      <c r="J171">
        <f t="shared" si="37"/>
        <v>1</v>
      </c>
      <c r="K171">
        <f t="shared" si="38"/>
        <v>1</v>
      </c>
      <c r="L171">
        <f t="shared" si="39"/>
        <v>1</v>
      </c>
      <c r="M171">
        <f t="shared" si="40"/>
        <v>6</v>
      </c>
      <c r="N171">
        <v>6</v>
      </c>
      <c r="R171">
        <f t="shared" si="41"/>
        <v>1</v>
      </c>
      <c r="S171">
        <f t="shared" si="42"/>
        <v>1</v>
      </c>
      <c r="T171">
        <f t="shared" si="43"/>
        <v>1</v>
      </c>
      <c r="U171">
        <f t="shared" si="44"/>
        <v>1</v>
      </c>
      <c r="V171">
        <f t="shared" si="45"/>
        <v>7</v>
      </c>
      <c r="W171">
        <v>7</v>
      </c>
      <c r="AA171">
        <f t="shared" si="46"/>
        <v>1</v>
      </c>
      <c r="AB171">
        <f t="shared" si="47"/>
        <v>1</v>
      </c>
      <c r="AC171">
        <f t="shared" si="48"/>
        <v>1</v>
      </c>
      <c r="AD171">
        <f t="shared" si="49"/>
        <v>1</v>
      </c>
    </row>
    <row r="172" spans="1:30" x14ac:dyDescent="0.2">
      <c r="A172" s="23"/>
      <c r="B172" t="s">
        <v>122</v>
      </c>
      <c r="C172">
        <f t="shared" si="34"/>
        <v>20</v>
      </c>
      <c r="D172">
        <f t="shared" si="35"/>
        <v>8</v>
      </c>
      <c r="E172">
        <v>7</v>
      </c>
      <c r="H172">
        <v>1</v>
      </c>
      <c r="I172">
        <f t="shared" si="36"/>
        <v>0.875</v>
      </c>
      <c r="J172">
        <f t="shared" si="37"/>
        <v>1</v>
      </c>
      <c r="K172">
        <f t="shared" si="38"/>
        <v>0.875</v>
      </c>
      <c r="L172">
        <f t="shared" si="39"/>
        <v>0.93333333333333335</v>
      </c>
      <c r="M172">
        <f t="shared" si="40"/>
        <v>1</v>
      </c>
      <c r="Q172">
        <v>1</v>
      </c>
      <c r="R172">
        <f t="shared" si="41"/>
        <v>0</v>
      </c>
      <c r="S172" t="e">
        <f t="shared" si="42"/>
        <v>#DIV/0!</v>
      </c>
      <c r="T172">
        <f t="shared" si="43"/>
        <v>0</v>
      </c>
      <c r="U172" t="e">
        <f t="shared" si="44"/>
        <v>#DIV/0!</v>
      </c>
      <c r="V172">
        <f t="shared" si="45"/>
        <v>11</v>
      </c>
      <c r="W172">
        <v>11</v>
      </c>
      <c r="AA172">
        <f t="shared" si="46"/>
        <v>1</v>
      </c>
      <c r="AB172">
        <f t="shared" si="47"/>
        <v>1</v>
      </c>
      <c r="AC172">
        <f t="shared" si="48"/>
        <v>1</v>
      </c>
      <c r="AD172">
        <f t="shared" si="49"/>
        <v>1</v>
      </c>
    </row>
    <row r="173" spans="1:30" x14ac:dyDescent="0.2">
      <c r="A173" s="23"/>
      <c r="B173" t="s">
        <v>121</v>
      </c>
      <c r="C173">
        <f t="shared" si="34"/>
        <v>20</v>
      </c>
      <c r="D173">
        <f t="shared" si="35"/>
        <v>9</v>
      </c>
      <c r="E173">
        <v>9</v>
      </c>
      <c r="I173">
        <f t="shared" si="36"/>
        <v>1</v>
      </c>
      <c r="J173">
        <f t="shared" si="37"/>
        <v>1</v>
      </c>
      <c r="K173">
        <f t="shared" si="38"/>
        <v>1</v>
      </c>
      <c r="L173">
        <f t="shared" si="39"/>
        <v>1</v>
      </c>
      <c r="M173">
        <f t="shared" si="40"/>
        <v>5</v>
      </c>
      <c r="N173">
        <v>5</v>
      </c>
      <c r="R173">
        <f t="shared" si="41"/>
        <v>1</v>
      </c>
      <c r="S173">
        <f t="shared" si="42"/>
        <v>1</v>
      </c>
      <c r="T173">
        <f t="shared" si="43"/>
        <v>1</v>
      </c>
      <c r="U173">
        <f t="shared" si="44"/>
        <v>1</v>
      </c>
      <c r="V173">
        <f t="shared" si="45"/>
        <v>6</v>
      </c>
      <c r="W173">
        <v>6</v>
      </c>
      <c r="AA173">
        <f t="shared" si="46"/>
        <v>1</v>
      </c>
      <c r="AB173">
        <f t="shared" si="47"/>
        <v>1</v>
      </c>
      <c r="AC173">
        <f t="shared" si="48"/>
        <v>1</v>
      </c>
      <c r="AD173">
        <f t="shared" si="49"/>
        <v>1</v>
      </c>
    </row>
    <row r="174" spans="1:30" x14ac:dyDescent="0.2">
      <c r="A174" s="23"/>
      <c r="B174" t="s">
        <v>120</v>
      </c>
      <c r="C174">
        <f t="shared" si="34"/>
        <v>20</v>
      </c>
      <c r="D174">
        <f t="shared" si="35"/>
        <v>7</v>
      </c>
      <c r="E174">
        <v>7</v>
      </c>
      <c r="I174">
        <f t="shared" si="36"/>
        <v>1</v>
      </c>
      <c r="J174">
        <f t="shared" si="37"/>
        <v>1</v>
      </c>
      <c r="K174">
        <f t="shared" si="38"/>
        <v>1</v>
      </c>
      <c r="L174">
        <f t="shared" si="39"/>
        <v>1</v>
      </c>
      <c r="M174">
        <f t="shared" si="40"/>
        <v>7</v>
      </c>
      <c r="N174">
        <v>7</v>
      </c>
      <c r="R174">
        <f t="shared" si="41"/>
        <v>1</v>
      </c>
      <c r="S174">
        <f t="shared" si="42"/>
        <v>1</v>
      </c>
      <c r="T174">
        <f t="shared" si="43"/>
        <v>1</v>
      </c>
      <c r="U174">
        <f t="shared" si="44"/>
        <v>1</v>
      </c>
      <c r="V174">
        <f t="shared" si="45"/>
        <v>6</v>
      </c>
      <c r="W174">
        <v>6</v>
      </c>
      <c r="AA174">
        <f t="shared" si="46"/>
        <v>1</v>
      </c>
      <c r="AB174">
        <f t="shared" si="47"/>
        <v>1</v>
      </c>
      <c r="AC174">
        <f t="shared" si="48"/>
        <v>1</v>
      </c>
      <c r="AD174">
        <f t="shared" si="49"/>
        <v>1</v>
      </c>
    </row>
    <row r="175" spans="1:30" x14ac:dyDescent="0.2">
      <c r="A175" s="23"/>
      <c r="B175" t="s">
        <v>119</v>
      </c>
      <c r="C175">
        <f t="shared" si="34"/>
        <v>20</v>
      </c>
      <c r="D175">
        <f t="shared" si="35"/>
        <v>9</v>
      </c>
      <c r="E175">
        <v>8</v>
      </c>
      <c r="G175">
        <v>1</v>
      </c>
      <c r="I175">
        <f t="shared" si="36"/>
        <v>0.88888888888888884</v>
      </c>
      <c r="J175">
        <f t="shared" si="37"/>
        <v>0.88888888888888884</v>
      </c>
      <c r="K175">
        <f t="shared" si="38"/>
        <v>1</v>
      </c>
      <c r="L175">
        <f t="shared" si="39"/>
        <v>0.94117647058823528</v>
      </c>
      <c r="M175">
        <f t="shared" si="40"/>
        <v>4</v>
      </c>
      <c r="N175">
        <v>4</v>
      </c>
      <c r="R175">
        <f t="shared" si="41"/>
        <v>1</v>
      </c>
      <c r="S175">
        <f t="shared" si="42"/>
        <v>1</v>
      </c>
      <c r="T175">
        <f t="shared" si="43"/>
        <v>1</v>
      </c>
      <c r="U175">
        <f t="shared" si="44"/>
        <v>1</v>
      </c>
      <c r="V175">
        <f t="shared" si="45"/>
        <v>7</v>
      </c>
      <c r="W175">
        <v>7</v>
      </c>
      <c r="AA175">
        <f t="shared" si="46"/>
        <v>1</v>
      </c>
      <c r="AB175">
        <f t="shared" si="47"/>
        <v>1</v>
      </c>
      <c r="AC175">
        <f t="shared" si="48"/>
        <v>1</v>
      </c>
      <c r="AD175">
        <f t="shared" si="49"/>
        <v>1</v>
      </c>
    </row>
    <row r="176" spans="1:30" x14ac:dyDescent="0.2">
      <c r="A176" s="23"/>
      <c r="B176" t="s">
        <v>118</v>
      </c>
      <c r="C176">
        <f t="shared" si="34"/>
        <v>20</v>
      </c>
      <c r="D176">
        <f t="shared" si="35"/>
        <v>8</v>
      </c>
      <c r="E176">
        <v>7</v>
      </c>
      <c r="G176">
        <v>1</v>
      </c>
      <c r="I176">
        <f t="shared" si="36"/>
        <v>0.875</v>
      </c>
      <c r="J176">
        <f t="shared" si="37"/>
        <v>0.875</v>
      </c>
      <c r="K176">
        <f t="shared" si="38"/>
        <v>1</v>
      </c>
      <c r="L176">
        <f t="shared" si="39"/>
        <v>0.93333333333333335</v>
      </c>
      <c r="M176">
        <f t="shared" si="40"/>
        <v>5</v>
      </c>
      <c r="N176">
        <v>5</v>
      </c>
      <c r="R176">
        <f t="shared" si="41"/>
        <v>1</v>
      </c>
      <c r="S176">
        <f t="shared" si="42"/>
        <v>1</v>
      </c>
      <c r="T176">
        <f t="shared" si="43"/>
        <v>1</v>
      </c>
      <c r="U176">
        <f t="shared" si="44"/>
        <v>1</v>
      </c>
      <c r="V176">
        <f t="shared" si="45"/>
        <v>7</v>
      </c>
      <c r="W176">
        <v>7</v>
      </c>
      <c r="AA176">
        <f t="shared" si="46"/>
        <v>1</v>
      </c>
      <c r="AB176">
        <f t="shared" si="47"/>
        <v>1</v>
      </c>
      <c r="AC176">
        <f t="shared" si="48"/>
        <v>1</v>
      </c>
      <c r="AD176">
        <f t="shared" si="49"/>
        <v>1</v>
      </c>
    </row>
    <row r="177" spans="1:30" x14ac:dyDescent="0.2">
      <c r="A177" s="23"/>
      <c r="B177" t="s">
        <v>117</v>
      </c>
      <c r="C177">
        <f t="shared" si="34"/>
        <v>20</v>
      </c>
      <c r="D177">
        <f t="shared" si="35"/>
        <v>8</v>
      </c>
      <c r="E177">
        <v>8</v>
      </c>
      <c r="I177">
        <f t="shared" si="36"/>
        <v>1</v>
      </c>
      <c r="J177">
        <f t="shared" si="37"/>
        <v>1</v>
      </c>
      <c r="K177">
        <f t="shared" si="38"/>
        <v>1</v>
      </c>
      <c r="L177">
        <f t="shared" si="39"/>
        <v>1</v>
      </c>
      <c r="M177">
        <f t="shared" si="40"/>
        <v>6</v>
      </c>
      <c r="N177">
        <v>6</v>
      </c>
      <c r="R177">
        <f t="shared" si="41"/>
        <v>1</v>
      </c>
      <c r="S177">
        <f t="shared" si="42"/>
        <v>1</v>
      </c>
      <c r="T177">
        <f t="shared" si="43"/>
        <v>1</v>
      </c>
      <c r="U177">
        <f t="shared" si="44"/>
        <v>1</v>
      </c>
      <c r="V177">
        <f t="shared" si="45"/>
        <v>6</v>
      </c>
      <c r="W177">
        <v>6</v>
      </c>
      <c r="AA177">
        <f t="shared" si="46"/>
        <v>1</v>
      </c>
      <c r="AB177">
        <f t="shared" si="47"/>
        <v>1</v>
      </c>
      <c r="AC177">
        <f t="shared" si="48"/>
        <v>1</v>
      </c>
      <c r="AD177">
        <f t="shared" si="49"/>
        <v>1</v>
      </c>
    </row>
    <row r="178" spans="1:30" x14ac:dyDescent="0.2">
      <c r="A178" s="23"/>
      <c r="B178" t="s">
        <v>116</v>
      </c>
      <c r="C178">
        <f t="shared" si="34"/>
        <v>20</v>
      </c>
      <c r="D178">
        <f t="shared" si="35"/>
        <v>10</v>
      </c>
      <c r="F178">
        <v>1</v>
      </c>
      <c r="H178">
        <v>9</v>
      </c>
      <c r="I178">
        <f t="shared" si="36"/>
        <v>0.1</v>
      </c>
      <c r="J178" t="e">
        <f t="shared" si="37"/>
        <v>#DIV/0!</v>
      </c>
      <c r="K178">
        <f t="shared" si="38"/>
        <v>0</v>
      </c>
      <c r="L178" t="e">
        <f t="shared" si="39"/>
        <v>#DIV/0!</v>
      </c>
      <c r="M178">
        <f t="shared" si="40"/>
        <v>4</v>
      </c>
      <c r="N178">
        <v>4</v>
      </c>
      <c r="R178">
        <f t="shared" si="41"/>
        <v>1</v>
      </c>
      <c r="S178">
        <f t="shared" si="42"/>
        <v>1</v>
      </c>
      <c r="T178">
        <f t="shared" si="43"/>
        <v>1</v>
      </c>
      <c r="U178">
        <f t="shared" si="44"/>
        <v>1</v>
      </c>
      <c r="V178">
        <f t="shared" si="45"/>
        <v>6</v>
      </c>
      <c r="X178">
        <v>1</v>
      </c>
      <c r="Z178">
        <v>5</v>
      </c>
      <c r="AA178">
        <f t="shared" si="46"/>
        <v>0.16666666666666666</v>
      </c>
      <c r="AB178" t="e">
        <f t="shared" si="47"/>
        <v>#DIV/0!</v>
      </c>
      <c r="AC178">
        <f t="shared" si="48"/>
        <v>0</v>
      </c>
      <c r="AD178" t="e">
        <f t="shared" si="49"/>
        <v>#DIV/0!</v>
      </c>
    </row>
    <row r="179" spans="1:30" x14ac:dyDescent="0.2">
      <c r="A179" s="23"/>
      <c r="B179" t="s">
        <v>115</v>
      </c>
      <c r="C179">
        <f t="shared" si="34"/>
        <v>20</v>
      </c>
      <c r="D179">
        <f t="shared" si="35"/>
        <v>8</v>
      </c>
      <c r="E179">
        <v>8</v>
      </c>
      <c r="I179">
        <f t="shared" si="36"/>
        <v>1</v>
      </c>
      <c r="J179">
        <f t="shared" si="37"/>
        <v>1</v>
      </c>
      <c r="K179">
        <f t="shared" si="38"/>
        <v>1</v>
      </c>
      <c r="L179">
        <f t="shared" si="39"/>
        <v>1</v>
      </c>
      <c r="M179">
        <f t="shared" si="40"/>
        <v>4</v>
      </c>
      <c r="N179">
        <v>4</v>
      </c>
      <c r="R179">
        <f t="shared" si="41"/>
        <v>1</v>
      </c>
      <c r="S179">
        <f t="shared" si="42"/>
        <v>1</v>
      </c>
      <c r="T179">
        <f t="shared" si="43"/>
        <v>1</v>
      </c>
      <c r="U179">
        <f t="shared" si="44"/>
        <v>1</v>
      </c>
      <c r="V179">
        <f t="shared" si="45"/>
        <v>8</v>
      </c>
      <c r="W179">
        <v>8</v>
      </c>
      <c r="AA179">
        <f t="shared" si="46"/>
        <v>1</v>
      </c>
      <c r="AB179">
        <f t="shared" si="47"/>
        <v>1</v>
      </c>
      <c r="AC179">
        <f t="shared" si="48"/>
        <v>1</v>
      </c>
      <c r="AD179">
        <f t="shared" si="49"/>
        <v>1</v>
      </c>
    </row>
    <row r="180" spans="1:30" x14ac:dyDescent="0.2">
      <c r="A180" s="23"/>
      <c r="B180" t="s">
        <v>114</v>
      </c>
      <c r="C180">
        <f t="shared" si="34"/>
        <v>20</v>
      </c>
      <c r="D180">
        <f t="shared" si="35"/>
        <v>7</v>
      </c>
      <c r="E180">
        <v>7</v>
      </c>
      <c r="I180">
        <f t="shared" si="36"/>
        <v>1</v>
      </c>
      <c r="J180">
        <f t="shared" si="37"/>
        <v>1</v>
      </c>
      <c r="K180">
        <f t="shared" si="38"/>
        <v>1</v>
      </c>
      <c r="L180">
        <f t="shared" si="39"/>
        <v>1</v>
      </c>
      <c r="M180">
        <f t="shared" si="40"/>
        <v>7</v>
      </c>
      <c r="N180">
        <v>4</v>
      </c>
      <c r="P180">
        <v>3</v>
      </c>
      <c r="R180">
        <f t="shared" si="41"/>
        <v>0.5714285714285714</v>
      </c>
      <c r="S180">
        <f t="shared" si="42"/>
        <v>0.5714285714285714</v>
      </c>
      <c r="T180">
        <f t="shared" si="43"/>
        <v>1</v>
      </c>
      <c r="U180">
        <f t="shared" si="44"/>
        <v>0.72727272727272729</v>
      </c>
      <c r="V180">
        <f t="shared" si="45"/>
        <v>6</v>
      </c>
      <c r="W180">
        <v>6</v>
      </c>
      <c r="AA180">
        <f t="shared" si="46"/>
        <v>1</v>
      </c>
      <c r="AB180">
        <f t="shared" si="47"/>
        <v>1</v>
      </c>
      <c r="AC180">
        <f t="shared" si="48"/>
        <v>1</v>
      </c>
      <c r="AD180">
        <f t="shared" si="49"/>
        <v>1</v>
      </c>
    </row>
    <row r="181" spans="1:30" x14ac:dyDescent="0.2">
      <c r="A181" s="23"/>
      <c r="B181" t="s">
        <v>113</v>
      </c>
      <c r="C181">
        <f t="shared" si="34"/>
        <v>20</v>
      </c>
      <c r="D181">
        <f t="shared" si="35"/>
        <v>8</v>
      </c>
      <c r="E181">
        <v>8</v>
      </c>
      <c r="I181">
        <f t="shared" si="36"/>
        <v>1</v>
      </c>
      <c r="J181">
        <f t="shared" si="37"/>
        <v>1</v>
      </c>
      <c r="K181">
        <f t="shared" si="38"/>
        <v>1</v>
      </c>
      <c r="L181">
        <f t="shared" si="39"/>
        <v>1</v>
      </c>
      <c r="M181">
        <f t="shared" si="40"/>
        <v>6</v>
      </c>
      <c r="N181">
        <v>5</v>
      </c>
      <c r="P181">
        <v>1</v>
      </c>
      <c r="R181">
        <f t="shared" si="41"/>
        <v>0.83333333333333337</v>
      </c>
      <c r="S181">
        <f t="shared" si="42"/>
        <v>0.83333333333333337</v>
      </c>
      <c r="T181">
        <f t="shared" si="43"/>
        <v>1</v>
      </c>
      <c r="U181">
        <f t="shared" si="44"/>
        <v>0.90909090909090906</v>
      </c>
      <c r="V181">
        <f t="shared" si="45"/>
        <v>6</v>
      </c>
      <c r="W181">
        <v>5</v>
      </c>
      <c r="Y181">
        <v>1</v>
      </c>
      <c r="AA181">
        <f t="shared" si="46"/>
        <v>0.83333333333333337</v>
      </c>
      <c r="AB181">
        <f t="shared" si="47"/>
        <v>0.83333333333333337</v>
      </c>
      <c r="AC181">
        <f t="shared" si="48"/>
        <v>1</v>
      </c>
      <c r="AD181">
        <f t="shared" si="49"/>
        <v>0.90909090909090906</v>
      </c>
    </row>
    <row r="182" spans="1:30" x14ac:dyDescent="0.2">
      <c r="A182" s="23"/>
      <c r="B182" t="s">
        <v>112</v>
      </c>
      <c r="C182">
        <f t="shared" si="34"/>
        <v>20</v>
      </c>
      <c r="D182">
        <f t="shared" si="35"/>
        <v>6</v>
      </c>
      <c r="E182">
        <v>6</v>
      </c>
      <c r="I182">
        <f t="shared" si="36"/>
        <v>1</v>
      </c>
      <c r="J182">
        <f t="shared" si="37"/>
        <v>1</v>
      </c>
      <c r="K182">
        <f t="shared" si="38"/>
        <v>1</v>
      </c>
      <c r="L182">
        <f t="shared" si="39"/>
        <v>1</v>
      </c>
      <c r="M182">
        <f t="shared" si="40"/>
        <v>6</v>
      </c>
      <c r="N182">
        <v>6</v>
      </c>
      <c r="R182">
        <f t="shared" si="41"/>
        <v>1</v>
      </c>
      <c r="S182">
        <f t="shared" si="42"/>
        <v>1</v>
      </c>
      <c r="T182">
        <f t="shared" si="43"/>
        <v>1</v>
      </c>
      <c r="U182">
        <f t="shared" si="44"/>
        <v>1</v>
      </c>
      <c r="V182">
        <f t="shared" si="45"/>
        <v>8</v>
      </c>
      <c r="W182">
        <v>7</v>
      </c>
      <c r="Y182">
        <v>1</v>
      </c>
      <c r="AA182">
        <f t="shared" si="46"/>
        <v>0.875</v>
      </c>
      <c r="AB182">
        <f t="shared" si="47"/>
        <v>0.875</v>
      </c>
      <c r="AC182">
        <f t="shared" si="48"/>
        <v>1</v>
      </c>
      <c r="AD182">
        <f t="shared" si="49"/>
        <v>0.93333333333333335</v>
      </c>
    </row>
    <row r="183" spans="1:30" x14ac:dyDescent="0.2">
      <c r="A183" s="23"/>
      <c r="B183" t="s">
        <v>111</v>
      </c>
      <c r="C183">
        <f t="shared" si="34"/>
        <v>20</v>
      </c>
      <c r="D183">
        <f t="shared" si="35"/>
        <v>7</v>
      </c>
      <c r="E183">
        <v>6</v>
      </c>
      <c r="G183">
        <v>1</v>
      </c>
      <c r="I183">
        <f t="shared" si="36"/>
        <v>0.8571428571428571</v>
      </c>
      <c r="J183">
        <f t="shared" si="37"/>
        <v>0.8571428571428571</v>
      </c>
      <c r="K183">
        <f t="shared" si="38"/>
        <v>1</v>
      </c>
      <c r="L183">
        <f t="shared" si="39"/>
        <v>0.92307692307692302</v>
      </c>
      <c r="M183">
        <f t="shared" si="40"/>
        <v>9</v>
      </c>
      <c r="N183">
        <v>8</v>
      </c>
      <c r="P183">
        <v>1</v>
      </c>
      <c r="R183">
        <f t="shared" si="41"/>
        <v>0.88888888888888884</v>
      </c>
      <c r="S183">
        <f t="shared" si="42"/>
        <v>0.88888888888888884</v>
      </c>
      <c r="T183">
        <f t="shared" si="43"/>
        <v>1</v>
      </c>
      <c r="U183">
        <f t="shared" si="44"/>
        <v>0.94117647058823528</v>
      </c>
      <c r="V183">
        <f t="shared" si="45"/>
        <v>4</v>
      </c>
      <c r="W183">
        <v>4</v>
      </c>
      <c r="AA183">
        <f t="shared" si="46"/>
        <v>1</v>
      </c>
      <c r="AB183">
        <f t="shared" si="47"/>
        <v>1</v>
      </c>
      <c r="AC183">
        <f t="shared" si="48"/>
        <v>1</v>
      </c>
      <c r="AD183">
        <f t="shared" si="49"/>
        <v>1</v>
      </c>
    </row>
    <row r="184" spans="1:30" x14ac:dyDescent="0.2">
      <c r="A184" s="23"/>
      <c r="B184" t="s">
        <v>110</v>
      </c>
      <c r="C184">
        <f t="shared" si="34"/>
        <v>20</v>
      </c>
      <c r="D184">
        <f t="shared" si="35"/>
        <v>8</v>
      </c>
      <c r="E184">
        <v>8</v>
      </c>
      <c r="I184">
        <f t="shared" si="36"/>
        <v>1</v>
      </c>
      <c r="J184">
        <f t="shared" si="37"/>
        <v>1</v>
      </c>
      <c r="K184">
        <f t="shared" si="38"/>
        <v>1</v>
      </c>
      <c r="L184">
        <f t="shared" si="39"/>
        <v>1</v>
      </c>
      <c r="M184">
        <f t="shared" si="40"/>
        <v>8</v>
      </c>
      <c r="N184">
        <v>8</v>
      </c>
      <c r="R184">
        <f t="shared" si="41"/>
        <v>1</v>
      </c>
      <c r="S184">
        <f t="shared" si="42"/>
        <v>1</v>
      </c>
      <c r="T184">
        <f t="shared" si="43"/>
        <v>1</v>
      </c>
      <c r="U184">
        <f t="shared" si="44"/>
        <v>1</v>
      </c>
      <c r="V184">
        <f t="shared" si="45"/>
        <v>4</v>
      </c>
      <c r="W184">
        <v>4</v>
      </c>
      <c r="AA184">
        <f t="shared" si="46"/>
        <v>1</v>
      </c>
      <c r="AB184">
        <f t="shared" si="47"/>
        <v>1</v>
      </c>
      <c r="AC184">
        <f t="shared" si="48"/>
        <v>1</v>
      </c>
      <c r="AD184">
        <f t="shared" si="49"/>
        <v>1</v>
      </c>
    </row>
    <row r="185" spans="1:30" x14ac:dyDescent="0.2">
      <c r="A185" s="23"/>
      <c r="B185" t="s">
        <v>109</v>
      </c>
      <c r="C185">
        <f t="shared" si="34"/>
        <v>10</v>
      </c>
      <c r="D185">
        <f t="shared" si="35"/>
        <v>1</v>
      </c>
      <c r="E185">
        <v>1</v>
      </c>
      <c r="I185">
        <f t="shared" si="36"/>
        <v>1</v>
      </c>
      <c r="J185">
        <f t="shared" si="37"/>
        <v>1</v>
      </c>
      <c r="K185">
        <f t="shared" si="38"/>
        <v>1</v>
      </c>
      <c r="L185">
        <f t="shared" si="39"/>
        <v>1</v>
      </c>
      <c r="M185">
        <f t="shared" si="40"/>
        <v>3</v>
      </c>
      <c r="N185">
        <v>3</v>
      </c>
      <c r="R185">
        <f t="shared" si="41"/>
        <v>1</v>
      </c>
      <c r="S185">
        <f t="shared" si="42"/>
        <v>1</v>
      </c>
      <c r="T185">
        <f t="shared" si="43"/>
        <v>1</v>
      </c>
      <c r="U185">
        <f t="shared" si="44"/>
        <v>1</v>
      </c>
      <c r="V185">
        <f t="shared" si="45"/>
        <v>6</v>
      </c>
      <c r="W185">
        <v>6</v>
      </c>
      <c r="AA185">
        <f t="shared" si="46"/>
        <v>1</v>
      </c>
      <c r="AB185">
        <f t="shared" si="47"/>
        <v>1</v>
      </c>
      <c r="AC185">
        <f t="shared" si="48"/>
        <v>1</v>
      </c>
      <c r="AD185">
        <f t="shared" si="49"/>
        <v>1</v>
      </c>
    </row>
    <row r="186" spans="1:30" x14ac:dyDescent="0.2">
      <c r="A186" s="23"/>
      <c r="B186" t="s">
        <v>108</v>
      </c>
      <c r="C186">
        <f t="shared" si="34"/>
        <v>20</v>
      </c>
      <c r="D186">
        <f t="shared" si="35"/>
        <v>8</v>
      </c>
      <c r="E186">
        <v>8</v>
      </c>
      <c r="I186">
        <f t="shared" si="36"/>
        <v>1</v>
      </c>
      <c r="J186">
        <f t="shared" si="37"/>
        <v>1</v>
      </c>
      <c r="K186">
        <f t="shared" si="38"/>
        <v>1</v>
      </c>
      <c r="L186">
        <f t="shared" si="39"/>
        <v>1</v>
      </c>
      <c r="M186">
        <f t="shared" si="40"/>
        <v>4</v>
      </c>
      <c r="N186">
        <v>4</v>
      </c>
      <c r="R186">
        <f t="shared" si="41"/>
        <v>1</v>
      </c>
      <c r="S186">
        <f t="shared" si="42"/>
        <v>1</v>
      </c>
      <c r="T186">
        <f t="shared" si="43"/>
        <v>1</v>
      </c>
      <c r="U186">
        <f t="shared" si="44"/>
        <v>1</v>
      </c>
      <c r="V186">
        <f t="shared" si="45"/>
        <v>8</v>
      </c>
      <c r="W186">
        <v>8</v>
      </c>
      <c r="AA186">
        <f t="shared" si="46"/>
        <v>1</v>
      </c>
      <c r="AB186">
        <f t="shared" si="47"/>
        <v>1</v>
      </c>
      <c r="AC186">
        <f t="shared" si="48"/>
        <v>1</v>
      </c>
      <c r="AD186">
        <f t="shared" si="49"/>
        <v>1</v>
      </c>
    </row>
    <row r="187" spans="1:30" x14ac:dyDescent="0.2">
      <c r="A187" s="23"/>
      <c r="B187" t="s">
        <v>107</v>
      </c>
      <c r="C187">
        <f t="shared" si="34"/>
        <v>20</v>
      </c>
      <c r="D187">
        <f t="shared" si="35"/>
        <v>8</v>
      </c>
      <c r="E187">
        <v>8</v>
      </c>
      <c r="I187">
        <f t="shared" si="36"/>
        <v>1</v>
      </c>
      <c r="J187">
        <f t="shared" si="37"/>
        <v>1</v>
      </c>
      <c r="K187">
        <f t="shared" si="38"/>
        <v>1</v>
      </c>
      <c r="L187">
        <f t="shared" si="39"/>
        <v>1</v>
      </c>
      <c r="M187">
        <f t="shared" si="40"/>
        <v>6</v>
      </c>
      <c r="N187">
        <v>6</v>
      </c>
      <c r="R187">
        <f t="shared" si="41"/>
        <v>1</v>
      </c>
      <c r="S187">
        <f t="shared" si="42"/>
        <v>1</v>
      </c>
      <c r="T187">
        <f t="shared" si="43"/>
        <v>1</v>
      </c>
      <c r="U187">
        <f t="shared" si="44"/>
        <v>1</v>
      </c>
      <c r="V187">
        <f t="shared" si="45"/>
        <v>6</v>
      </c>
      <c r="W187">
        <v>6</v>
      </c>
      <c r="AA187">
        <f t="shared" si="46"/>
        <v>1</v>
      </c>
      <c r="AB187">
        <f t="shared" si="47"/>
        <v>1</v>
      </c>
      <c r="AC187">
        <f t="shared" si="48"/>
        <v>1</v>
      </c>
      <c r="AD187">
        <f t="shared" si="49"/>
        <v>1</v>
      </c>
    </row>
    <row r="188" spans="1:30" x14ac:dyDescent="0.2">
      <c r="A188" s="23"/>
      <c r="B188" t="s">
        <v>106</v>
      </c>
      <c r="C188">
        <f t="shared" si="34"/>
        <v>20</v>
      </c>
      <c r="D188">
        <f t="shared" si="35"/>
        <v>8</v>
      </c>
      <c r="E188">
        <v>8</v>
      </c>
      <c r="I188">
        <f t="shared" si="36"/>
        <v>1</v>
      </c>
      <c r="J188">
        <f t="shared" si="37"/>
        <v>1</v>
      </c>
      <c r="K188">
        <f t="shared" si="38"/>
        <v>1</v>
      </c>
      <c r="L188">
        <f t="shared" si="39"/>
        <v>1</v>
      </c>
      <c r="M188">
        <f t="shared" si="40"/>
        <v>0</v>
      </c>
      <c r="R188" t="e">
        <f t="shared" si="41"/>
        <v>#DIV/0!</v>
      </c>
      <c r="S188" t="e">
        <f t="shared" si="42"/>
        <v>#DIV/0!</v>
      </c>
      <c r="T188" t="e">
        <f t="shared" si="43"/>
        <v>#DIV/0!</v>
      </c>
      <c r="U188" t="e">
        <f t="shared" si="44"/>
        <v>#DIV/0!</v>
      </c>
      <c r="V188">
        <f t="shared" si="45"/>
        <v>12</v>
      </c>
      <c r="W188">
        <v>12</v>
      </c>
      <c r="AA188">
        <f t="shared" si="46"/>
        <v>1</v>
      </c>
      <c r="AB188">
        <f t="shared" si="47"/>
        <v>1</v>
      </c>
      <c r="AC188">
        <f t="shared" si="48"/>
        <v>1</v>
      </c>
      <c r="AD188">
        <f t="shared" si="49"/>
        <v>1</v>
      </c>
    </row>
    <row r="189" spans="1:30" x14ac:dyDescent="0.2">
      <c r="A189" s="23"/>
      <c r="B189" t="s">
        <v>105</v>
      </c>
      <c r="C189">
        <f t="shared" si="34"/>
        <v>20</v>
      </c>
      <c r="D189">
        <f t="shared" si="35"/>
        <v>8</v>
      </c>
      <c r="E189">
        <v>8</v>
      </c>
      <c r="I189">
        <f t="shared" si="36"/>
        <v>1</v>
      </c>
      <c r="J189">
        <f t="shared" si="37"/>
        <v>1</v>
      </c>
      <c r="K189">
        <f t="shared" si="38"/>
        <v>1</v>
      </c>
      <c r="L189">
        <f t="shared" si="39"/>
        <v>1</v>
      </c>
      <c r="M189">
        <f t="shared" si="40"/>
        <v>6</v>
      </c>
      <c r="N189">
        <v>6</v>
      </c>
      <c r="R189">
        <f t="shared" si="41"/>
        <v>1</v>
      </c>
      <c r="S189">
        <f t="shared" si="42"/>
        <v>1</v>
      </c>
      <c r="T189">
        <f t="shared" si="43"/>
        <v>1</v>
      </c>
      <c r="U189">
        <f t="shared" si="44"/>
        <v>1</v>
      </c>
      <c r="V189">
        <f t="shared" si="45"/>
        <v>6</v>
      </c>
      <c r="W189">
        <v>6</v>
      </c>
      <c r="AA189">
        <f t="shared" si="46"/>
        <v>1</v>
      </c>
      <c r="AB189">
        <f t="shared" si="47"/>
        <v>1</v>
      </c>
      <c r="AC189">
        <f t="shared" si="48"/>
        <v>1</v>
      </c>
      <c r="AD189">
        <f t="shared" si="49"/>
        <v>1</v>
      </c>
    </row>
    <row r="190" spans="1:30" x14ac:dyDescent="0.2">
      <c r="A190" s="23"/>
      <c r="B190" t="s">
        <v>104</v>
      </c>
      <c r="C190">
        <f t="shared" si="34"/>
        <v>20</v>
      </c>
      <c r="D190">
        <f t="shared" si="35"/>
        <v>7</v>
      </c>
      <c r="E190">
        <v>7</v>
      </c>
      <c r="I190">
        <f t="shared" si="36"/>
        <v>1</v>
      </c>
      <c r="J190">
        <f t="shared" si="37"/>
        <v>1</v>
      </c>
      <c r="K190">
        <f t="shared" si="38"/>
        <v>1</v>
      </c>
      <c r="L190">
        <f t="shared" si="39"/>
        <v>1</v>
      </c>
      <c r="M190">
        <f t="shared" si="40"/>
        <v>4</v>
      </c>
      <c r="N190">
        <v>4</v>
      </c>
      <c r="R190">
        <f t="shared" si="41"/>
        <v>1</v>
      </c>
      <c r="S190">
        <f t="shared" si="42"/>
        <v>1</v>
      </c>
      <c r="T190">
        <f t="shared" si="43"/>
        <v>1</v>
      </c>
      <c r="U190">
        <f t="shared" si="44"/>
        <v>1</v>
      </c>
      <c r="V190">
        <f t="shared" si="45"/>
        <v>9</v>
      </c>
      <c r="W190">
        <v>9</v>
      </c>
      <c r="AA190">
        <f t="shared" si="46"/>
        <v>1</v>
      </c>
      <c r="AB190">
        <f t="shared" si="47"/>
        <v>1</v>
      </c>
      <c r="AC190">
        <f t="shared" si="48"/>
        <v>1</v>
      </c>
      <c r="AD190">
        <f t="shared" si="49"/>
        <v>1</v>
      </c>
    </row>
    <row r="191" spans="1:30" s="8" customFormat="1" x14ac:dyDescent="0.2">
      <c r="A191" s="23"/>
      <c r="B191" s="8" t="s">
        <v>103</v>
      </c>
      <c r="C191" s="8">
        <f t="shared" si="34"/>
        <v>0</v>
      </c>
      <c r="D191" s="8">
        <f t="shared" si="35"/>
        <v>0</v>
      </c>
      <c r="I191" t="e">
        <f t="shared" si="36"/>
        <v>#DIV/0!</v>
      </c>
      <c r="J191" t="e">
        <f t="shared" si="37"/>
        <v>#DIV/0!</v>
      </c>
      <c r="K191" t="e">
        <f t="shared" si="38"/>
        <v>#DIV/0!</v>
      </c>
      <c r="L191" t="e">
        <f t="shared" si="39"/>
        <v>#DIV/0!</v>
      </c>
      <c r="M191" s="8">
        <f t="shared" si="40"/>
        <v>0</v>
      </c>
      <c r="R191" t="e">
        <f t="shared" si="41"/>
        <v>#DIV/0!</v>
      </c>
      <c r="S191" t="e">
        <f t="shared" si="42"/>
        <v>#DIV/0!</v>
      </c>
      <c r="T191" t="e">
        <f t="shared" si="43"/>
        <v>#DIV/0!</v>
      </c>
      <c r="U191" t="e">
        <f t="shared" si="44"/>
        <v>#DIV/0!</v>
      </c>
      <c r="V191" s="8">
        <f t="shared" si="45"/>
        <v>0</v>
      </c>
      <c r="AA191" t="e">
        <f t="shared" si="46"/>
        <v>#DIV/0!</v>
      </c>
      <c r="AB191" t="e">
        <f t="shared" si="47"/>
        <v>#DIV/0!</v>
      </c>
      <c r="AC191" t="e">
        <f t="shared" si="48"/>
        <v>#DIV/0!</v>
      </c>
      <c r="AD191" t="e">
        <f t="shared" si="49"/>
        <v>#DIV/0!</v>
      </c>
    </row>
    <row r="192" spans="1:30" x14ac:dyDescent="0.2">
      <c r="A192" s="23"/>
      <c r="B192" t="s">
        <v>102</v>
      </c>
      <c r="C192">
        <f t="shared" si="34"/>
        <v>20</v>
      </c>
      <c r="D192">
        <f t="shared" si="35"/>
        <v>7</v>
      </c>
      <c r="E192">
        <v>7</v>
      </c>
      <c r="I192">
        <f t="shared" si="36"/>
        <v>1</v>
      </c>
      <c r="J192">
        <f t="shared" si="37"/>
        <v>1</v>
      </c>
      <c r="K192">
        <f t="shared" si="38"/>
        <v>1</v>
      </c>
      <c r="L192">
        <f t="shared" si="39"/>
        <v>1</v>
      </c>
      <c r="M192">
        <f t="shared" si="40"/>
        <v>5</v>
      </c>
      <c r="N192">
        <v>4</v>
      </c>
      <c r="Q192">
        <v>1</v>
      </c>
      <c r="R192">
        <f t="shared" si="41"/>
        <v>0.8</v>
      </c>
      <c r="S192">
        <f t="shared" si="42"/>
        <v>1</v>
      </c>
      <c r="T192">
        <f t="shared" si="43"/>
        <v>0.8</v>
      </c>
      <c r="U192">
        <f t="shared" si="44"/>
        <v>0.88888888888888895</v>
      </c>
      <c r="V192">
        <f t="shared" si="45"/>
        <v>8</v>
      </c>
      <c r="W192">
        <v>8</v>
      </c>
      <c r="AA192">
        <f t="shared" si="46"/>
        <v>1</v>
      </c>
      <c r="AB192">
        <f t="shared" si="47"/>
        <v>1</v>
      </c>
      <c r="AC192">
        <f t="shared" si="48"/>
        <v>1</v>
      </c>
      <c r="AD192">
        <f t="shared" si="49"/>
        <v>1</v>
      </c>
    </row>
    <row r="193" spans="1:30" s="8" customFormat="1" x14ac:dyDescent="0.2">
      <c r="A193" s="23"/>
      <c r="B193" s="8" t="s">
        <v>101</v>
      </c>
      <c r="C193" s="8">
        <f t="shared" si="34"/>
        <v>0</v>
      </c>
      <c r="D193" s="8">
        <f t="shared" si="35"/>
        <v>0</v>
      </c>
      <c r="I193" t="e">
        <f t="shared" si="36"/>
        <v>#DIV/0!</v>
      </c>
      <c r="J193" t="e">
        <f t="shared" si="37"/>
        <v>#DIV/0!</v>
      </c>
      <c r="K193" t="e">
        <f t="shared" si="38"/>
        <v>#DIV/0!</v>
      </c>
      <c r="L193" t="e">
        <f t="shared" si="39"/>
        <v>#DIV/0!</v>
      </c>
      <c r="M193" s="8">
        <f t="shared" si="40"/>
        <v>0</v>
      </c>
      <c r="R193" t="e">
        <f t="shared" si="41"/>
        <v>#DIV/0!</v>
      </c>
      <c r="S193" t="e">
        <f t="shared" si="42"/>
        <v>#DIV/0!</v>
      </c>
      <c r="T193" t="e">
        <f t="shared" si="43"/>
        <v>#DIV/0!</v>
      </c>
      <c r="U193" t="e">
        <f t="shared" si="44"/>
        <v>#DIV/0!</v>
      </c>
      <c r="V193" s="8">
        <f t="shared" si="45"/>
        <v>0</v>
      </c>
      <c r="AA193" t="e">
        <f t="shared" si="46"/>
        <v>#DIV/0!</v>
      </c>
      <c r="AB193" t="e">
        <f t="shared" si="47"/>
        <v>#DIV/0!</v>
      </c>
      <c r="AC193" t="e">
        <f t="shared" si="48"/>
        <v>#DIV/0!</v>
      </c>
      <c r="AD193" t="e">
        <f t="shared" si="49"/>
        <v>#DIV/0!</v>
      </c>
    </row>
    <row r="194" spans="1:30" x14ac:dyDescent="0.2">
      <c r="A194" s="23"/>
      <c r="B194" t="s">
        <v>100</v>
      </c>
      <c r="C194">
        <f t="shared" si="34"/>
        <v>20</v>
      </c>
      <c r="D194">
        <f t="shared" si="35"/>
        <v>8</v>
      </c>
      <c r="E194">
        <v>8</v>
      </c>
      <c r="I194">
        <f t="shared" si="36"/>
        <v>1</v>
      </c>
      <c r="J194">
        <f t="shared" si="37"/>
        <v>1</v>
      </c>
      <c r="K194">
        <f t="shared" si="38"/>
        <v>1</v>
      </c>
      <c r="L194">
        <f t="shared" si="39"/>
        <v>1</v>
      </c>
      <c r="M194">
        <f t="shared" si="40"/>
        <v>7</v>
      </c>
      <c r="N194">
        <v>6</v>
      </c>
      <c r="P194">
        <v>1</v>
      </c>
      <c r="R194">
        <f t="shared" si="41"/>
        <v>0.8571428571428571</v>
      </c>
      <c r="S194">
        <f t="shared" si="42"/>
        <v>0.8571428571428571</v>
      </c>
      <c r="T194">
        <f t="shared" si="43"/>
        <v>1</v>
      </c>
      <c r="U194">
        <f t="shared" si="44"/>
        <v>0.92307692307692302</v>
      </c>
      <c r="V194">
        <f t="shared" si="45"/>
        <v>5</v>
      </c>
      <c r="W194">
        <v>5</v>
      </c>
      <c r="AA194">
        <f t="shared" si="46"/>
        <v>1</v>
      </c>
      <c r="AB194">
        <f t="shared" si="47"/>
        <v>1</v>
      </c>
      <c r="AC194">
        <f t="shared" si="48"/>
        <v>1</v>
      </c>
      <c r="AD194">
        <f t="shared" si="49"/>
        <v>1</v>
      </c>
    </row>
    <row r="195" spans="1:30" x14ac:dyDescent="0.2">
      <c r="A195" s="23"/>
      <c r="B195" t="s">
        <v>99</v>
      </c>
      <c r="C195">
        <f t="shared" si="34"/>
        <v>10</v>
      </c>
      <c r="D195">
        <f t="shared" si="35"/>
        <v>3</v>
      </c>
      <c r="E195">
        <v>3</v>
      </c>
      <c r="I195">
        <f t="shared" si="36"/>
        <v>1</v>
      </c>
      <c r="J195">
        <f t="shared" si="37"/>
        <v>1</v>
      </c>
      <c r="K195">
        <f t="shared" si="38"/>
        <v>1</v>
      </c>
      <c r="L195">
        <f t="shared" si="39"/>
        <v>1</v>
      </c>
      <c r="M195">
        <f t="shared" si="40"/>
        <v>4</v>
      </c>
      <c r="N195">
        <v>4</v>
      </c>
      <c r="R195">
        <f t="shared" si="41"/>
        <v>1</v>
      </c>
      <c r="S195">
        <f t="shared" si="42"/>
        <v>1</v>
      </c>
      <c r="T195">
        <f t="shared" si="43"/>
        <v>1</v>
      </c>
      <c r="U195">
        <f t="shared" si="44"/>
        <v>1</v>
      </c>
      <c r="V195">
        <f t="shared" si="45"/>
        <v>3</v>
      </c>
      <c r="W195">
        <v>3</v>
      </c>
      <c r="AA195">
        <f t="shared" si="46"/>
        <v>1</v>
      </c>
      <c r="AB195">
        <f t="shared" si="47"/>
        <v>1</v>
      </c>
      <c r="AC195">
        <f t="shared" si="48"/>
        <v>1</v>
      </c>
      <c r="AD195">
        <f t="shared" si="49"/>
        <v>1</v>
      </c>
    </row>
    <row r="196" spans="1:30" x14ac:dyDescent="0.2">
      <c r="A196" s="23"/>
      <c r="B196" t="s">
        <v>98</v>
      </c>
      <c r="C196">
        <f t="shared" ref="C196:C259" si="50">D196+M196+V196</f>
        <v>20</v>
      </c>
      <c r="D196">
        <f t="shared" ref="D196:D259" si="51">SUM(E196:H196)</f>
        <v>8</v>
      </c>
      <c r="E196">
        <v>8</v>
      </c>
      <c r="I196">
        <f t="shared" ref="I196:I259" si="52">(E196+F196)/(E196+F196+G196+H196)</f>
        <v>1</v>
      </c>
      <c r="J196">
        <f t="shared" ref="J196:J259" si="53">E196/(E196+G196)</f>
        <v>1</v>
      </c>
      <c r="K196">
        <f t="shared" ref="K196:K259" si="54">E196/(E196+H196)</f>
        <v>1</v>
      </c>
      <c r="L196">
        <f t="shared" ref="L196:L259" si="55">(2*J196*K196)/(J196+K196)</f>
        <v>1</v>
      </c>
      <c r="M196">
        <f t="shared" ref="M196:M259" si="56">SUM(N196:Q196)</f>
        <v>5</v>
      </c>
      <c r="N196">
        <v>5</v>
      </c>
      <c r="R196">
        <f t="shared" ref="R196:R259" si="57">(N196+O196)/(N196+O196+P196+Q196)</f>
        <v>1</v>
      </c>
      <c r="S196">
        <f t="shared" ref="S196:S259" si="58">N196/(N196+P196)</f>
        <v>1</v>
      </c>
      <c r="T196">
        <f t="shared" ref="T196:T259" si="59">N196/(N196+Q196)</f>
        <v>1</v>
      </c>
      <c r="U196">
        <f t="shared" ref="U196:U259" si="60">(2*S196*T196)/(S196+T196)</f>
        <v>1</v>
      </c>
      <c r="V196">
        <f t="shared" ref="V196:V259" si="61">SUM(W196:Z196)</f>
        <v>7</v>
      </c>
      <c r="W196">
        <v>7</v>
      </c>
      <c r="AA196">
        <f t="shared" ref="AA196:AA259" si="62">(W196+X196)/(W196+X196+Y196+Z196)</f>
        <v>1</v>
      </c>
      <c r="AB196">
        <f t="shared" ref="AB196:AB259" si="63">W196/(W196+Y196)</f>
        <v>1</v>
      </c>
      <c r="AC196">
        <f t="shared" ref="AC196:AC259" si="64">W196/(W196+Z196)</f>
        <v>1</v>
      </c>
      <c r="AD196">
        <f t="shared" ref="AD196:AD259" si="65">(2*AB196*AC196)/(AB196+AC196)</f>
        <v>1</v>
      </c>
    </row>
    <row r="197" spans="1:30" x14ac:dyDescent="0.2">
      <c r="A197" s="23"/>
      <c r="B197" t="s">
        <v>97</v>
      </c>
      <c r="C197">
        <f t="shared" si="50"/>
        <v>20</v>
      </c>
      <c r="D197">
        <f t="shared" si="51"/>
        <v>8</v>
      </c>
      <c r="E197">
        <v>8</v>
      </c>
      <c r="I197">
        <f t="shared" si="52"/>
        <v>1</v>
      </c>
      <c r="J197">
        <f t="shared" si="53"/>
        <v>1</v>
      </c>
      <c r="K197">
        <f t="shared" si="54"/>
        <v>1</v>
      </c>
      <c r="L197">
        <f t="shared" si="55"/>
        <v>1</v>
      </c>
      <c r="M197">
        <f t="shared" si="56"/>
        <v>7</v>
      </c>
      <c r="N197">
        <v>7</v>
      </c>
      <c r="R197">
        <f t="shared" si="57"/>
        <v>1</v>
      </c>
      <c r="S197">
        <f t="shared" si="58"/>
        <v>1</v>
      </c>
      <c r="T197">
        <f t="shared" si="59"/>
        <v>1</v>
      </c>
      <c r="U197">
        <f t="shared" si="60"/>
        <v>1</v>
      </c>
      <c r="V197">
        <f t="shared" si="61"/>
        <v>5</v>
      </c>
      <c r="W197">
        <v>5</v>
      </c>
      <c r="AA197">
        <f t="shared" si="62"/>
        <v>1</v>
      </c>
      <c r="AB197">
        <f t="shared" si="63"/>
        <v>1</v>
      </c>
      <c r="AC197">
        <f t="shared" si="64"/>
        <v>1</v>
      </c>
      <c r="AD197">
        <f t="shared" si="65"/>
        <v>1</v>
      </c>
    </row>
    <row r="198" spans="1:30" x14ac:dyDescent="0.2">
      <c r="A198" s="23"/>
      <c r="B198" t="s">
        <v>96</v>
      </c>
      <c r="C198">
        <f t="shared" si="50"/>
        <v>20</v>
      </c>
      <c r="D198">
        <f t="shared" si="51"/>
        <v>8</v>
      </c>
      <c r="E198">
        <v>8</v>
      </c>
      <c r="I198">
        <f t="shared" si="52"/>
        <v>1</v>
      </c>
      <c r="J198">
        <f t="shared" si="53"/>
        <v>1</v>
      </c>
      <c r="K198">
        <f t="shared" si="54"/>
        <v>1</v>
      </c>
      <c r="L198">
        <f t="shared" si="55"/>
        <v>1</v>
      </c>
      <c r="M198">
        <f t="shared" si="56"/>
        <v>6</v>
      </c>
      <c r="N198">
        <v>6</v>
      </c>
      <c r="R198">
        <f t="shared" si="57"/>
        <v>1</v>
      </c>
      <c r="S198">
        <f t="shared" si="58"/>
        <v>1</v>
      </c>
      <c r="T198">
        <f t="shared" si="59"/>
        <v>1</v>
      </c>
      <c r="U198">
        <f t="shared" si="60"/>
        <v>1</v>
      </c>
      <c r="V198">
        <f t="shared" si="61"/>
        <v>6</v>
      </c>
      <c r="W198">
        <v>6</v>
      </c>
      <c r="AA198">
        <f t="shared" si="62"/>
        <v>1</v>
      </c>
      <c r="AB198">
        <f t="shared" si="63"/>
        <v>1</v>
      </c>
      <c r="AC198">
        <f t="shared" si="64"/>
        <v>1</v>
      </c>
      <c r="AD198">
        <f t="shared" si="65"/>
        <v>1</v>
      </c>
    </row>
    <row r="199" spans="1:30" x14ac:dyDescent="0.2">
      <c r="A199" s="23"/>
      <c r="B199" t="s">
        <v>95</v>
      </c>
      <c r="C199">
        <f t="shared" si="50"/>
        <v>20</v>
      </c>
      <c r="D199">
        <f t="shared" si="51"/>
        <v>8</v>
      </c>
      <c r="E199">
        <v>7</v>
      </c>
      <c r="H199">
        <v>1</v>
      </c>
      <c r="I199">
        <f t="shared" si="52"/>
        <v>0.875</v>
      </c>
      <c r="J199">
        <f t="shared" si="53"/>
        <v>1</v>
      </c>
      <c r="K199">
        <f t="shared" si="54"/>
        <v>0.875</v>
      </c>
      <c r="L199">
        <f t="shared" si="55"/>
        <v>0.93333333333333335</v>
      </c>
      <c r="M199">
        <f t="shared" si="56"/>
        <v>3</v>
      </c>
      <c r="N199">
        <v>3</v>
      </c>
      <c r="R199">
        <f t="shared" si="57"/>
        <v>1</v>
      </c>
      <c r="S199">
        <f t="shared" si="58"/>
        <v>1</v>
      </c>
      <c r="T199">
        <f t="shared" si="59"/>
        <v>1</v>
      </c>
      <c r="U199">
        <f t="shared" si="60"/>
        <v>1</v>
      </c>
      <c r="V199">
        <f t="shared" si="61"/>
        <v>9</v>
      </c>
      <c r="W199">
        <v>8</v>
      </c>
      <c r="Y199">
        <v>1</v>
      </c>
      <c r="AA199">
        <f t="shared" si="62"/>
        <v>0.88888888888888884</v>
      </c>
      <c r="AB199">
        <f t="shared" si="63"/>
        <v>0.88888888888888884</v>
      </c>
      <c r="AC199">
        <f t="shared" si="64"/>
        <v>1</v>
      </c>
      <c r="AD199">
        <f t="shared" si="65"/>
        <v>0.94117647058823528</v>
      </c>
    </row>
    <row r="200" spans="1:30" x14ac:dyDescent="0.2">
      <c r="A200" s="23" t="s">
        <v>94</v>
      </c>
      <c r="B200" t="s">
        <v>93</v>
      </c>
      <c r="C200">
        <f t="shared" si="50"/>
        <v>20</v>
      </c>
      <c r="D200">
        <f t="shared" si="51"/>
        <v>6</v>
      </c>
      <c r="E200">
        <v>6</v>
      </c>
      <c r="I200">
        <f t="shared" si="52"/>
        <v>1</v>
      </c>
      <c r="J200">
        <f t="shared" si="53"/>
        <v>1</v>
      </c>
      <c r="K200">
        <f t="shared" si="54"/>
        <v>1</v>
      </c>
      <c r="L200">
        <f t="shared" si="55"/>
        <v>1</v>
      </c>
      <c r="M200">
        <f t="shared" si="56"/>
        <v>7</v>
      </c>
      <c r="N200">
        <v>7</v>
      </c>
      <c r="R200">
        <f t="shared" si="57"/>
        <v>1</v>
      </c>
      <c r="S200">
        <f t="shared" si="58"/>
        <v>1</v>
      </c>
      <c r="T200">
        <f t="shared" si="59"/>
        <v>1</v>
      </c>
      <c r="U200">
        <f t="shared" si="60"/>
        <v>1</v>
      </c>
      <c r="V200">
        <f t="shared" si="61"/>
        <v>7</v>
      </c>
      <c r="W200">
        <v>7</v>
      </c>
      <c r="AA200">
        <f t="shared" si="62"/>
        <v>1</v>
      </c>
      <c r="AB200">
        <f t="shared" si="63"/>
        <v>1</v>
      </c>
      <c r="AC200">
        <f t="shared" si="64"/>
        <v>1</v>
      </c>
      <c r="AD200">
        <f t="shared" si="65"/>
        <v>1</v>
      </c>
    </row>
    <row r="201" spans="1:30" x14ac:dyDescent="0.2">
      <c r="A201" s="23"/>
      <c r="B201" t="s">
        <v>92</v>
      </c>
      <c r="C201">
        <f t="shared" si="50"/>
        <v>15</v>
      </c>
      <c r="D201">
        <f t="shared" si="51"/>
        <v>5</v>
      </c>
      <c r="E201">
        <v>5</v>
      </c>
      <c r="I201">
        <f t="shared" si="52"/>
        <v>1</v>
      </c>
      <c r="J201">
        <f t="shared" si="53"/>
        <v>1</v>
      </c>
      <c r="K201">
        <f t="shared" si="54"/>
        <v>1</v>
      </c>
      <c r="L201">
        <f t="shared" si="55"/>
        <v>1</v>
      </c>
      <c r="M201">
        <f t="shared" si="56"/>
        <v>6</v>
      </c>
      <c r="N201">
        <v>6</v>
      </c>
      <c r="R201">
        <f t="shared" si="57"/>
        <v>1</v>
      </c>
      <c r="S201">
        <f t="shared" si="58"/>
        <v>1</v>
      </c>
      <c r="T201">
        <f t="shared" si="59"/>
        <v>1</v>
      </c>
      <c r="U201">
        <f t="shared" si="60"/>
        <v>1</v>
      </c>
      <c r="V201">
        <f t="shared" si="61"/>
        <v>4</v>
      </c>
      <c r="W201">
        <v>4</v>
      </c>
      <c r="AA201">
        <f t="shared" si="62"/>
        <v>1</v>
      </c>
      <c r="AB201">
        <f t="shared" si="63"/>
        <v>1</v>
      </c>
      <c r="AC201">
        <f t="shared" si="64"/>
        <v>1</v>
      </c>
      <c r="AD201">
        <f t="shared" si="65"/>
        <v>1</v>
      </c>
    </row>
    <row r="202" spans="1:30" x14ac:dyDescent="0.2">
      <c r="A202" s="23"/>
      <c r="B202" t="s">
        <v>91</v>
      </c>
      <c r="C202">
        <f t="shared" si="50"/>
        <v>20</v>
      </c>
      <c r="D202">
        <f t="shared" si="51"/>
        <v>9</v>
      </c>
      <c r="E202">
        <v>9</v>
      </c>
      <c r="I202">
        <f t="shared" si="52"/>
        <v>1</v>
      </c>
      <c r="J202">
        <f t="shared" si="53"/>
        <v>1</v>
      </c>
      <c r="K202">
        <f t="shared" si="54"/>
        <v>1</v>
      </c>
      <c r="L202">
        <f t="shared" si="55"/>
        <v>1</v>
      </c>
      <c r="M202">
        <f t="shared" si="56"/>
        <v>5</v>
      </c>
      <c r="N202">
        <v>4</v>
      </c>
      <c r="P202">
        <v>1</v>
      </c>
      <c r="R202">
        <f t="shared" si="57"/>
        <v>0.8</v>
      </c>
      <c r="S202">
        <f t="shared" si="58"/>
        <v>0.8</v>
      </c>
      <c r="T202">
        <f t="shared" si="59"/>
        <v>1</v>
      </c>
      <c r="U202">
        <f t="shared" si="60"/>
        <v>0.88888888888888895</v>
      </c>
      <c r="V202">
        <f t="shared" si="61"/>
        <v>6</v>
      </c>
      <c r="W202">
        <v>6</v>
      </c>
      <c r="AA202">
        <f t="shared" si="62"/>
        <v>1</v>
      </c>
      <c r="AB202">
        <f t="shared" si="63"/>
        <v>1</v>
      </c>
      <c r="AC202">
        <f t="shared" si="64"/>
        <v>1</v>
      </c>
      <c r="AD202">
        <f t="shared" si="65"/>
        <v>1</v>
      </c>
    </row>
    <row r="203" spans="1:30" x14ac:dyDescent="0.2">
      <c r="A203" s="23"/>
      <c r="B203" t="s">
        <v>90</v>
      </c>
      <c r="C203">
        <f t="shared" si="50"/>
        <v>16</v>
      </c>
      <c r="D203">
        <f t="shared" si="51"/>
        <v>7</v>
      </c>
      <c r="E203">
        <v>7</v>
      </c>
      <c r="I203">
        <f t="shared" si="52"/>
        <v>1</v>
      </c>
      <c r="J203">
        <f t="shared" si="53"/>
        <v>1</v>
      </c>
      <c r="K203">
        <f t="shared" si="54"/>
        <v>1</v>
      </c>
      <c r="L203">
        <f t="shared" si="55"/>
        <v>1</v>
      </c>
      <c r="M203">
        <f t="shared" si="56"/>
        <v>3</v>
      </c>
      <c r="N203">
        <v>3</v>
      </c>
      <c r="R203">
        <f t="shared" si="57"/>
        <v>1</v>
      </c>
      <c r="S203">
        <f t="shared" si="58"/>
        <v>1</v>
      </c>
      <c r="T203">
        <f t="shared" si="59"/>
        <v>1</v>
      </c>
      <c r="U203">
        <f t="shared" si="60"/>
        <v>1</v>
      </c>
      <c r="V203">
        <f t="shared" si="61"/>
        <v>6</v>
      </c>
      <c r="W203">
        <v>6</v>
      </c>
      <c r="AA203">
        <f t="shared" si="62"/>
        <v>1</v>
      </c>
      <c r="AB203">
        <f t="shared" si="63"/>
        <v>1</v>
      </c>
      <c r="AC203">
        <f t="shared" si="64"/>
        <v>1</v>
      </c>
      <c r="AD203">
        <f t="shared" si="65"/>
        <v>1</v>
      </c>
    </row>
    <row r="204" spans="1:30" x14ac:dyDescent="0.2">
      <c r="A204" s="23"/>
      <c r="B204" t="s">
        <v>89</v>
      </c>
      <c r="C204">
        <f t="shared" si="50"/>
        <v>20</v>
      </c>
      <c r="D204">
        <f t="shared" si="51"/>
        <v>7</v>
      </c>
      <c r="E204">
        <v>7</v>
      </c>
      <c r="I204">
        <f t="shared" si="52"/>
        <v>1</v>
      </c>
      <c r="J204">
        <f t="shared" si="53"/>
        <v>1</v>
      </c>
      <c r="K204">
        <f t="shared" si="54"/>
        <v>1</v>
      </c>
      <c r="L204">
        <f t="shared" si="55"/>
        <v>1</v>
      </c>
      <c r="M204">
        <f t="shared" si="56"/>
        <v>5</v>
      </c>
      <c r="N204">
        <v>5</v>
      </c>
      <c r="R204">
        <f t="shared" si="57"/>
        <v>1</v>
      </c>
      <c r="S204">
        <f t="shared" si="58"/>
        <v>1</v>
      </c>
      <c r="T204">
        <f t="shared" si="59"/>
        <v>1</v>
      </c>
      <c r="U204">
        <f t="shared" si="60"/>
        <v>1</v>
      </c>
      <c r="V204">
        <f t="shared" si="61"/>
        <v>8</v>
      </c>
      <c r="W204">
        <v>7</v>
      </c>
      <c r="Z204">
        <v>1</v>
      </c>
      <c r="AA204">
        <f t="shared" si="62"/>
        <v>0.875</v>
      </c>
      <c r="AB204">
        <f t="shared" si="63"/>
        <v>1</v>
      </c>
      <c r="AC204">
        <f t="shared" si="64"/>
        <v>0.875</v>
      </c>
      <c r="AD204">
        <f t="shared" si="65"/>
        <v>0.93333333333333335</v>
      </c>
    </row>
    <row r="205" spans="1:30" x14ac:dyDescent="0.2">
      <c r="A205" s="23"/>
      <c r="B205" t="s">
        <v>88</v>
      </c>
      <c r="C205">
        <f t="shared" si="50"/>
        <v>20</v>
      </c>
      <c r="D205">
        <f t="shared" si="51"/>
        <v>7</v>
      </c>
      <c r="E205">
        <v>7</v>
      </c>
      <c r="I205">
        <f t="shared" si="52"/>
        <v>1</v>
      </c>
      <c r="J205">
        <f t="shared" si="53"/>
        <v>1</v>
      </c>
      <c r="K205">
        <f t="shared" si="54"/>
        <v>1</v>
      </c>
      <c r="L205">
        <f t="shared" si="55"/>
        <v>1</v>
      </c>
      <c r="M205">
        <f t="shared" si="56"/>
        <v>8</v>
      </c>
      <c r="N205">
        <v>8</v>
      </c>
      <c r="R205">
        <f t="shared" si="57"/>
        <v>1</v>
      </c>
      <c r="S205">
        <f t="shared" si="58"/>
        <v>1</v>
      </c>
      <c r="T205">
        <f t="shared" si="59"/>
        <v>1</v>
      </c>
      <c r="U205">
        <f t="shared" si="60"/>
        <v>1</v>
      </c>
      <c r="V205">
        <f t="shared" si="61"/>
        <v>5</v>
      </c>
      <c r="W205">
        <v>5</v>
      </c>
      <c r="AA205">
        <f t="shared" si="62"/>
        <v>1</v>
      </c>
      <c r="AB205">
        <f t="shared" si="63"/>
        <v>1</v>
      </c>
      <c r="AC205">
        <f t="shared" si="64"/>
        <v>1</v>
      </c>
      <c r="AD205">
        <f t="shared" si="65"/>
        <v>1</v>
      </c>
    </row>
    <row r="206" spans="1:30" x14ac:dyDescent="0.2">
      <c r="A206" s="23"/>
      <c r="B206" t="s">
        <v>87</v>
      </c>
      <c r="C206">
        <f t="shared" si="50"/>
        <v>20</v>
      </c>
      <c r="D206">
        <f t="shared" si="51"/>
        <v>8</v>
      </c>
      <c r="E206">
        <v>7</v>
      </c>
      <c r="G206">
        <v>1</v>
      </c>
      <c r="I206">
        <f t="shared" si="52"/>
        <v>0.875</v>
      </c>
      <c r="J206">
        <f t="shared" si="53"/>
        <v>0.875</v>
      </c>
      <c r="K206">
        <f t="shared" si="54"/>
        <v>1</v>
      </c>
      <c r="L206">
        <f t="shared" si="55"/>
        <v>0.93333333333333335</v>
      </c>
      <c r="M206">
        <f t="shared" si="56"/>
        <v>3</v>
      </c>
      <c r="N206">
        <v>3</v>
      </c>
      <c r="R206">
        <f t="shared" si="57"/>
        <v>1</v>
      </c>
      <c r="S206">
        <f t="shared" si="58"/>
        <v>1</v>
      </c>
      <c r="T206">
        <f t="shared" si="59"/>
        <v>1</v>
      </c>
      <c r="U206">
        <f t="shared" si="60"/>
        <v>1</v>
      </c>
      <c r="V206">
        <f t="shared" si="61"/>
        <v>9</v>
      </c>
      <c r="W206">
        <v>9</v>
      </c>
      <c r="AA206">
        <f t="shared" si="62"/>
        <v>1</v>
      </c>
      <c r="AB206">
        <f t="shared" si="63"/>
        <v>1</v>
      </c>
      <c r="AC206">
        <f t="shared" si="64"/>
        <v>1</v>
      </c>
      <c r="AD206">
        <f t="shared" si="65"/>
        <v>1</v>
      </c>
    </row>
    <row r="207" spans="1:30" x14ac:dyDescent="0.2">
      <c r="A207" s="23"/>
      <c r="B207" t="s">
        <v>86</v>
      </c>
      <c r="C207">
        <f t="shared" si="50"/>
        <v>20</v>
      </c>
      <c r="D207">
        <f t="shared" si="51"/>
        <v>11</v>
      </c>
      <c r="E207">
        <v>11</v>
      </c>
      <c r="I207">
        <f t="shared" si="52"/>
        <v>1</v>
      </c>
      <c r="J207">
        <f t="shared" si="53"/>
        <v>1</v>
      </c>
      <c r="K207">
        <f t="shared" si="54"/>
        <v>1</v>
      </c>
      <c r="L207">
        <f t="shared" si="55"/>
        <v>1</v>
      </c>
      <c r="M207">
        <f t="shared" si="56"/>
        <v>3</v>
      </c>
      <c r="N207">
        <v>3</v>
      </c>
      <c r="R207">
        <f t="shared" si="57"/>
        <v>1</v>
      </c>
      <c r="S207">
        <f t="shared" si="58"/>
        <v>1</v>
      </c>
      <c r="T207">
        <f t="shared" si="59"/>
        <v>1</v>
      </c>
      <c r="U207">
        <f t="shared" si="60"/>
        <v>1</v>
      </c>
      <c r="V207">
        <f t="shared" si="61"/>
        <v>6</v>
      </c>
      <c r="W207">
        <v>6</v>
      </c>
      <c r="AA207">
        <f t="shared" si="62"/>
        <v>1</v>
      </c>
      <c r="AB207">
        <f t="shared" si="63"/>
        <v>1</v>
      </c>
      <c r="AC207">
        <f t="shared" si="64"/>
        <v>1</v>
      </c>
      <c r="AD207">
        <f t="shared" si="65"/>
        <v>1</v>
      </c>
    </row>
    <row r="208" spans="1:30" x14ac:dyDescent="0.2">
      <c r="A208" s="23"/>
      <c r="B208" t="s">
        <v>85</v>
      </c>
      <c r="C208">
        <f t="shared" si="50"/>
        <v>10</v>
      </c>
      <c r="D208">
        <f t="shared" si="51"/>
        <v>3</v>
      </c>
      <c r="E208">
        <v>3</v>
      </c>
      <c r="I208">
        <f t="shared" si="52"/>
        <v>1</v>
      </c>
      <c r="J208">
        <f t="shared" si="53"/>
        <v>1</v>
      </c>
      <c r="K208">
        <f t="shared" si="54"/>
        <v>1</v>
      </c>
      <c r="L208">
        <f t="shared" si="55"/>
        <v>1</v>
      </c>
      <c r="M208">
        <f t="shared" si="56"/>
        <v>3</v>
      </c>
      <c r="N208">
        <v>3</v>
      </c>
      <c r="R208">
        <f t="shared" si="57"/>
        <v>1</v>
      </c>
      <c r="S208">
        <f t="shared" si="58"/>
        <v>1</v>
      </c>
      <c r="T208">
        <f t="shared" si="59"/>
        <v>1</v>
      </c>
      <c r="U208">
        <f t="shared" si="60"/>
        <v>1</v>
      </c>
      <c r="V208">
        <f t="shared" si="61"/>
        <v>4</v>
      </c>
      <c r="W208">
        <v>4</v>
      </c>
      <c r="AA208">
        <f t="shared" si="62"/>
        <v>1</v>
      </c>
      <c r="AB208">
        <f t="shared" si="63"/>
        <v>1</v>
      </c>
      <c r="AC208">
        <f t="shared" si="64"/>
        <v>1</v>
      </c>
      <c r="AD208">
        <f t="shared" si="65"/>
        <v>1</v>
      </c>
    </row>
    <row r="209" spans="1:30" x14ac:dyDescent="0.2">
      <c r="A209" s="23"/>
      <c r="B209" t="s">
        <v>84</v>
      </c>
      <c r="C209">
        <f t="shared" si="50"/>
        <v>20</v>
      </c>
      <c r="D209">
        <f t="shared" si="51"/>
        <v>6</v>
      </c>
      <c r="E209">
        <v>6</v>
      </c>
      <c r="I209">
        <f t="shared" si="52"/>
        <v>1</v>
      </c>
      <c r="J209">
        <f t="shared" si="53"/>
        <v>1</v>
      </c>
      <c r="K209">
        <f t="shared" si="54"/>
        <v>1</v>
      </c>
      <c r="L209">
        <f t="shared" si="55"/>
        <v>1</v>
      </c>
      <c r="M209">
        <f t="shared" si="56"/>
        <v>6</v>
      </c>
      <c r="N209">
        <v>6</v>
      </c>
      <c r="R209">
        <f t="shared" si="57"/>
        <v>1</v>
      </c>
      <c r="S209">
        <f t="shared" si="58"/>
        <v>1</v>
      </c>
      <c r="T209">
        <f t="shared" si="59"/>
        <v>1</v>
      </c>
      <c r="U209">
        <f t="shared" si="60"/>
        <v>1</v>
      </c>
      <c r="V209">
        <f t="shared" si="61"/>
        <v>8</v>
      </c>
      <c r="W209">
        <v>7</v>
      </c>
      <c r="Y209">
        <v>1</v>
      </c>
      <c r="AA209">
        <f t="shared" si="62"/>
        <v>0.875</v>
      </c>
      <c r="AB209">
        <f t="shared" si="63"/>
        <v>0.875</v>
      </c>
      <c r="AC209">
        <f t="shared" si="64"/>
        <v>1</v>
      </c>
      <c r="AD209">
        <f t="shared" si="65"/>
        <v>0.93333333333333335</v>
      </c>
    </row>
    <row r="210" spans="1:30" x14ac:dyDescent="0.2">
      <c r="A210" s="23"/>
      <c r="B210" t="s">
        <v>83</v>
      </c>
      <c r="C210">
        <f t="shared" si="50"/>
        <v>20</v>
      </c>
      <c r="D210">
        <f t="shared" si="51"/>
        <v>8</v>
      </c>
      <c r="E210">
        <v>8</v>
      </c>
      <c r="I210">
        <f t="shared" si="52"/>
        <v>1</v>
      </c>
      <c r="J210">
        <f t="shared" si="53"/>
        <v>1</v>
      </c>
      <c r="K210">
        <f t="shared" si="54"/>
        <v>1</v>
      </c>
      <c r="L210">
        <f t="shared" si="55"/>
        <v>1</v>
      </c>
      <c r="M210">
        <f t="shared" si="56"/>
        <v>8</v>
      </c>
      <c r="N210">
        <v>8</v>
      </c>
      <c r="R210">
        <f t="shared" si="57"/>
        <v>1</v>
      </c>
      <c r="S210">
        <f t="shared" si="58"/>
        <v>1</v>
      </c>
      <c r="T210">
        <f t="shared" si="59"/>
        <v>1</v>
      </c>
      <c r="U210">
        <f t="shared" si="60"/>
        <v>1</v>
      </c>
      <c r="V210">
        <f t="shared" si="61"/>
        <v>4</v>
      </c>
      <c r="W210">
        <v>4</v>
      </c>
      <c r="AA210">
        <f t="shared" si="62"/>
        <v>1</v>
      </c>
      <c r="AB210">
        <f t="shared" si="63"/>
        <v>1</v>
      </c>
      <c r="AC210">
        <f t="shared" si="64"/>
        <v>1</v>
      </c>
      <c r="AD210">
        <f t="shared" si="65"/>
        <v>1</v>
      </c>
    </row>
    <row r="211" spans="1:30" x14ac:dyDescent="0.2">
      <c r="A211" s="23"/>
      <c r="B211" t="s">
        <v>82</v>
      </c>
      <c r="C211">
        <f t="shared" si="50"/>
        <v>20</v>
      </c>
      <c r="D211">
        <f t="shared" si="51"/>
        <v>8</v>
      </c>
      <c r="E211">
        <v>8</v>
      </c>
      <c r="I211">
        <f t="shared" si="52"/>
        <v>1</v>
      </c>
      <c r="J211">
        <f t="shared" si="53"/>
        <v>1</v>
      </c>
      <c r="K211">
        <f t="shared" si="54"/>
        <v>1</v>
      </c>
      <c r="L211">
        <f t="shared" si="55"/>
        <v>1</v>
      </c>
      <c r="M211">
        <f t="shared" si="56"/>
        <v>6</v>
      </c>
      <c r="N211">
        <v>6</v>
      </c>
      <c r="R211">
        <f t="shared" si="57"/>
        <v>1</v>
      </c>
      <c r="S211">
        <f t="shared" si="58"/>
        <v>1</v>
      </c>
      <c r="T211">
        <f t="shared" si="59"/>
        <v>1</v>
      </c>
      <c r="U211">
        <f t="shared" si="60"/>
        <v>1</v>
      </c>
      <c r="V211">
        <f t="shared" si="61"/>
        <v>6</v>
      </c>
      <c r="W211">
        <v>6</v>
      </c>
      <c r="AA211">
        <f t="shared" si="62"/>
        <v>1</v>
      </c>
      <c r="AB211">
        <f t="shared" si="63"/>
        <v>1</v>
      </c>
      <c r="AC211">
        <f t="shared" si="64"/>
        <v>1</v>
      </c>
      <c r="AD211">
        <f t="shared" si="65"/>
        <v>1</v>
      </c>
    </row>
    <row r="212" spans="1:30" x14ac:dyDescent="0.2">
      <c r="A212" s="23"/>
      <c r="B212" t="s">
        <v>81</v>
      </c>
      <c r="C212">
        <f t="shared" si="50"/>
        <v>20</v>
      </c>
      <c r="D212">
        <f t="shared" si="51"/>
        <v>8</v>
      </c>
      <c r="E212">
        <v>2</v>
      </c>
      <c r="F212">
        <v>6</v>
      </c>
      <c r="I212">
        <f t="shared" si="52"/>
        <v>1</v>
      </c>
      <c r="J212">
        <f t="shared" si="53"/>
        <v>1</v>
      </c>
      <c r="K212">
        <f t="shared" si="54"/>
        <v>1</v>
      </c>
      <c r="L212">
        <f t="shared" si="55"/>
        <v>1</v>
      </c>
      <c r="M212">
        <f t="shared" si="56"/>
        <v>4</v>
      </c>
      <c r="N212">
        <v>4</v>
      </c>
      <c r="R212">
        <f t="shared" si="57"/>
        <v>1</v>
      </c>
      <c r="S212">
        <f t="shared" si="58"/>
        <v>1</v>
      </c>
      <c r="T212">
        <f t="shared" si="59"/>
        <v>1</v>
      </c>
      <c r="U212">
        <f t="shared" si="60"/>
        <v>1</v>
      </c>
      <c r="V212">
        <f t="shared" si="61"/>
        <v>8</v>
      </c>
      <c r="W212">
        <v>8</v>
      </c>
      <c r="AA212">
        <f t="shared" si="62"/>
        <v>1</v>
      </c>
      <c r="AB212">
        <f t="shared" si="63"/>
        <v>1</v>
      </c>
      <c r="AC212">
        <f t="shared" si="64"/>
        <v>1</v>
      </c>
      <c r="AD212">
        <f t="shared" si="65"/>
        <v>1</v>
      </c>
    </row>
    <row r="213" spans="1:30" x14ac:dyDescent="0.2">
      <c r="A213" s="23"/>
      <c r="B213" t="s">
        <v>80</v>
      </c>
      <c r="C213">
        <f t="shared" si="50"/>
        <v>20</v>
      </c>
      <c r="D213">
        <f t="shared" si="51"/>
        <v>9</v>
      </c>
      <c r="E213">
        <v>2</v>
      </c>
      <c r="H213">
        <v>7</v>
      </c>
      <c r="I213">
        <f t="shared" si="52"/>
        <v>0.22222222222222221</v>
      </c>
      <c r="J213">
        <f t="shared" si="53"/>
        <v>1</v>
      </c>
      <c r="K213">
        <f t="shared" si="54"/>
        <v>0.22222222222222221</v>
      </c>
      <c r="L213">
        <f t="shared" si="55"/>
        <v>0.36363636363636359</v>
      </c>
      <c r="M213">
        <f t="shared" si="56"/>
        <v>5</v>
      </c>
      <c r="Q213">
        <v>5</v>
      </c>
      <c r="R213">
        <f t="shared" si="57"/>
        <v>0</v>
      </c>
      <c r="S213" t="e">
        <f t="shared" si="58"/>
        <v>#DIV/0!</v>
      </c>
      <c r="T213">
        <f t="shared" si="59"/>
        <v>0</v>
      </c>
      <c r="U213" t="e">
        <f t="shared" si="60"/>
        <v>#DIV/0!</v>
      </c>
      <c r="V213">
        <f t="shared" si="61"/>
        <v>6</v>
      </c>
      <c r="W213">
        <v>1</v>
      </c>
      <c r="Z213">
        <v>5</v>
      </c>
      <c r="AA213">
        <f t="shared" si="62"/>
        <v>0.16666666666666666</v>
      </c>
      <c r="AB213">
        <f t="shared" si="63"/>
        <v>1</v>
      </c>
      <c r="AC213">
        <f t="shared" si="64"/>
        <v>0.16666666666666666</v>
      </c>
      <c r="AD213">
        <f t="shared" si="65"/>
        <v>0.2857142857142857</v>
      </c>
    </row>
    <row r="214" spans="1:30" x14ac:dyDescent="0.2">
      <c r="A214" s="23"/>
      <c r="B214" t="s">
        <v>79</v>
      </c>
      <c r="C214">
        <f t="shared" si="50"/>
        <v>20</v>
      </c>
      <c r="D214">
        <f t="shared" si="51"/>
        <v>5</v>
      </c>
      <c r="E214">
        <v>5</v>
      </c>
      <c r="I214">
        <f t="shared" si="52"/>
        <v>1</v>
      </c>
      <c r="J214">
        <f t="shared" si="53"/>
        <v>1</v>
      </c>
      <c r="K214">
        <f t="shared" si="54"/>
        <v>1</v>
      </c>
      <c r="L214">
        <f t="shared" si="55"/>
        <v>1</v>
      </c>
      <c r="M214">
        <f t="shared" si="56"/>
        <v>4</v>
      </c>
      <c r="N214">
        <v>4</v>
      </c>
      <c r="R214">
        <f t="shared" si="57"/>
        <v>1</v>
      </c>
      <c r="S214">
        <f t="shared" si="58"/>
        <v>1</v>
      </c>
      <c r="T214">
        <f t="shared" si="59"/>
        <v>1</v>
      </c>
      <c r="U214">
        <f t="shared" si="60"/>
        <v>1</v>
      </c>
      <c r="V214">
        <f t="shared" si="61"/>
        <v>11</v>
      </c>
      <c r="W214">
        <v>11</v>
      </c>
      <c r="AA214">
        <f t="shared" si="62"/>
        <v>1</v>
      </c>
      <c r="AB214">
        <f t="shared" si="63"/>
        <v>1</v>
      </c>
      <c r="AC214">
        <f t="shared" si="64"/>
        <v>1</v>
      </c>
      <c r="AD214">
        <f t="shared" si="65"/>
        <v>1</v>
      </c>
    </row>
    <row r="215" spans="1:30" x14ac:dyDescent="0.2">
      <c r="A215" s="23"/>
      <c r="B215" t="s">
        <v>78</v>
      </c>
      <c r="C215">
        <f t="shared" si="50"/>
        <v>20</v>
      </c>
      <c r="D215">
        <f t="shared" si="51"/>
        <v>10</v>
      </c>
      <c r="H215">
        <v>10</v>
      </c>
      <c r="I215">
        <f t="shared" si="52"/>
        <v>0</v>
      </c>
      <c r="J215" t="e">
        <f t="shared" si="53"/>
        <v>#DIV/0!</v>
      </c>
      <c r="K215">
        <f t="shared" si="54"/>
        <v>0</v>
      </c>
      <c r="L215" t="e">
        <f t="shared" si="55"/>
        <v>#DIV/0!</v>
      </c>
      <c r="M215">
        <f t="shared" si="56"/>
        <v>0</v>
      </c>
      <c r="N215">
        <v>0</v>
      </c>
      <c r="O215">
        <v>0</v>
      </c>
      <c r="P215">
        <v>0</v>
      </c>
      <c r="Q215">
        <v>0</v>
      </c>
      <c r="R215" t="e">
        <f t="shared" si="57"/>
        <v>#DIV/0!</v>
      </c>
      <c r="S215" t="e">
        <f t="shared" si="58"/>
        <v>#DIV/0!</v>
      </c>
      <c r="T215" t="e">
        <f t="shared" si="59"/>
        <v>#DIV/0!</v>
      </c>
      <c r="U215" t="e">
        <f t="shared" si="60"/>
        <v>#DIV/0!</v>
      </c>
      <c r="V215">
        <f t="shared" si="61"/>
        <v>10</v>
      </c>
      <c r="Z215">
        <v>10</v>
      </c>
      <c r="AA215">
        <f t="shared" si="62"/>
        <v>0</v>
      </c>
      <c r="AB215" t="e">
        <f t="shared" si="63"/>
        <v>#DIV/0!</v>
      </c>
      <c r="AC215">
        <f t="shared" si="64"/>
        <v>0</v>
      </c>
      <c r="AD215" t="e">
        <f t="shared" si="65"/>
        <v>#DIV/0!</v>
      </c>
    </row>
    <row r="216" spans="1:30" x14ac:dyDescent="0.2">
      <c r="A216" s="23"/>
      <c r="B216" t="s">
        <v>77</v>
      </c>
      <c r="C216">
        <f t="shared" si="50"/>
        <v>20</v>
      </c>
      <c r="D216">
        <f t="shared" si="51"/>
        <v>8</v>
      </c>
      <c r="E216">
        <v>8</v>
      </c>
      <c r="I216">
        <f t="shared" si="52"/>
        <v>1</v>
      </c>
      <c r="J216">
        <f t="shared" si="53"/>
        <v>1</v>
      </c>
      <c r="K216">
        <f t="shared" si="54"/>
        <v>1</v>
      </c>
      <c r="L216">
        <f t="shared" si="55"/>
        <v>1</v>
      </c>
      <c r="M216">
        <f t="shared" si="56"/>
        <v>6</v>
      </c>
      <c r="N216">
        <v>5</v>
      </c>
      <c r="P216">
        <v>1</v>
      </c>
      <c r="R216">
        <f t="shared" si="57"/>
        <v>0.83333333333333337</v>
      </c>
      <c r="S216">
        <f t="shared" si="58"/>
        <v>0.83333333333333337</v>
      </c>
      <c r="T216">
        <f t="shared" si="59"/>
        <v>1</v>
      </c>
      <c r="U216">
        <f t="shared" si="60"/>
        <v>0.90909090909090906</v>
      </c>
      <c r="V216">
        <f t="shared" si="61"/>
        <v>6</v>
      </c>
      <c r="W216">
        <v>6</v>
      </c>
      <c r="AA216">
        <f t="shared" si="62"/>
        <v>1</v>
      </c>
      <c r="AB216">
        <f t="shared" si="63"/>
        <v>1</v>
      </c>
      <c r="AC216">
        <f t="shared" si="64"/>
        <v>1</v>
      </c>
      <c r="AD216">
        <f t="shared" si="65"/>
        <v>1</v>
      </c>
    </row>
    <row r="217" spans="1:30" x14ac:dyDescent="0.2">
      <c r="A217" s="23"/>
      <c r="B217" t="s">
        <v>76</v>
      </c>
      <c r="C217">
        <f t="shared" si="50"/>
        <v>20</v>
      </c>
      <c r="D217">
        <f t="shared" si="51"/>
        <v>7</v>
      </c>
      <c r="E217">
        <v>7</v>
      </c>
      <c r="I217">
        <f t="shared" si="52"/>
        <v>1</v>
      </c>
      <c r="J217">
        <f t="shared" si="53"/>
        <v>1</v>
      </c>
      <c r="K217">
        <f t="shared" si="54"/>
        <v>1</v>
      </c>
      <c r="L217">
        <f t="shared" si="55"/>
        <v>1</v>
      </c>
      <c r="M217">
        <f t="shared" si="56"/>
        <v>7</v>
      </c>
      <c r="N217">
        <v>7</v>
      </c>
      <c r="R217">
        <f t="shared" si="57"/>
        <v>1</v>
      </c>
      <c r="S217">
        <f t="shared" si="58"/>
        <v>1</v>
      </c>
      <c r="T217">
        <f t="shared" si="59"/>
        <v>1</v>
      </c>
      <c r="U217">
        <f t="shared" si="60"/>
        <v>1</v>
      </c>
      <c r="V217">
        <f t="shared" si="61"/>
        <v>6</v>
      </c>
      <c r="W217">
        <v>6</v>
      </c>
      <c r="AA217">
        <f t="shared" si="62"/>
        <v>1</v>
      </c>
      <c r="AB217">
        <f t="shared" si="63"/>
        <v>1</v>
      </c>
      <c r="AC217">
        <f t="shared" si="64"/>
        <v>1</v>
      </c>
      <c r="AD217">
        <f t="shared" si="65"/>
        <v>1</v>
      </c>
    </row>
    <row r="218" spans="1:30" x14ac:dyDescent="0.2">
      <c r="A218" s="23"/>
      <c r="B218" t="s">
        <v>75</v>
      </c>
      <c r="C218">
        <f t="shared" si="50"/>
        <v>19</v>
      </c>
      <c r="D218">
        <f t="shared" si="51"/>
        <v>5</v>
      </c>
      <c r="E218">
        <v>5</v>
      </c>
      <c r="I218">
        <f t="shared" si="52"/>
        <v>1</v>
      </c>
      <c r="J218">
        <f t="shared" si="53"/>
        <v>1</v>
      </c>
      <c r="K218">
        <f t="shared" si="54"/>
        <v>1</v>
      </c>
      <c r="L218">
        <f t="shared" si="55"/>
        <v>1</v>
      </c>
      <c r="M218">
        <f t="shared" si="56"/>
        <v>7</v>
      </c>
      <c r="N218">
        <v>7</v>
      </c>
      <c r="R218">
        <f t="shared" si="57"/>
        <v>1</v>
      </c>
      <c r="S218">
        <f t="shared" si="58"/>
        <v>1</v>
      </c>
      <c r="T218">
        <f t="shared" si="59"/>
        <v>1</v>
      </c>
      <c r="U218">
        <f t="shared" si="60"/>
        <v>1</v>
      </c>
      <c r="V218">
        <f t="shared" si="61"/>
        <v>7</v>
      </c>
      <c r="W218">
        <v>6</v>
      </c>
      <c r="Y218">
        <v>1</v>
      </c>
      <c r="AA218">
        <f t="shared" si="62"/>
        <v>0.8571428571428571</v>
      </c>
      <c r="AB218">
        <f t="shared" si="63"/>
        <v>0.8571428571428571</v>
      </c>
      <c r="AC218">
        <f t="shared" si="64"/>
        <v>1</v>
      </c>
      <c r="AD218">
        <f t="shared" si="65"/>
        <v>0.92307692307692302</v>
      </c>
    </row>
    <row r="219" spans="1:30" x14ac:dyDescent="0.2">
      <c r="A219" s="23"/>
      <c r="B219" t="s">
        <v>74</v>
      </c>
      <c r="C219">
        <f t="shared" si="50"/>
        <v>20</v>
      </c>
      <c r="D219">
        <f t="shared" si="51"/>
        <v>9</v>
      </c>
      <c r="E219">
        <v>8</v>
      </c>
      <c r="F219">
        <v>1</v>
      </c>
      <c r="I219">
        <f t="shared" si="52"/>
        <v>1</v>
      </c>
      <c r="J219">
        <f t="shared" si="53"/>
        <v>1</v>
      </c>
      <c r="K219">
        <f t="shared" si="54"/>
        <v>1</v>
      </c>
      <c r="L219">
        <f t="shared" si="55"/>
        <v>1</v>
      </c>
      <c r="M219">
        <f t="shared" si="56"/>
        <v>4</v>
      </c>
      <c r="N219">
        <v>4</v>
      </c>
      <c r="R219">
        <f t="shared" si="57"/>
        <v>1</v>
      </c>
      <c r="S219">
        <f t="shared" si="58"/>
        <v>1</v>
      </c>
      <c r="T219">
        <f t="shared" si="59"/>
        <v>1</v>
      </c>
      <c r="U219">
        <f t="shared" si="60"/>
        <v>1</v>
      </c>
      <c r="V219">
        <f t="shared" si="61"/>
        <v>7</v>
      </c>
      <c r="W219">
        <v>7</v>
      </c>
      <c r="AA219">
        <f t="shared" si="62"/>
        <v>1</v>
      </c>
      <c r="AB219">
        <f t="shared" si="63"/>
        <v>1</v>
      </c>
      <c r="AC219">
        <f t="shared" si="64"/>
        <v>1</v>
      </c>
      <c r="AD219">
        <f t="shared" si="65"/>
        <v>1</v>
      </c>
    </row>
    <row r="220" spans="1:30" x14ac:dyDescent="0.2">
      <c r="A220" s="23"/>
      <c r="B220" t="s">
        <v>73</v>
      </c>
      <c r="C220">
        <f t="shared" si="50"/>
        <v>20</v>
      </c>
      <c r="D220">
        <f t="shared" si="51"/>
        <v>7</v>
      </c>
      <c r="E220">
        <v>7</v>
      </c>
      <c r="I220">
        <f t="shared" si="52"/>
        <v>1</v>
      </c>
      <c r="J220">
        <f t="shared" si="53"/>
        <v>1</v>
      </c>
      <c r="K220">
        <f t="shared" si="54"/>
        <v>1</v>
      </c>
      <c r="L220">
        <f t="shared" si="55"/>
        <v>1</v>
      </c>
      <c r="M220">
        <f t="shared" si="56"/>
        <v>6</v>
      </c>
      <c r="N220">
        <v>6</v>
      </c>
      <c r="R220">
        <f t="shared" si="57"/>
        <v>1</v>
      </c>
      <c r="S220">
        <f t="shared" si="58"/>
        <v>1</v>
      </c>
      <c r="T220">
        <f t="shared" si="59"/>
        <v>1</v>
      </c>
      <c r="U220">
        <f t="shared" si="60"/>
        <v>1</v>
      </c>
      <c r="V220">
        <f t="shared" si="61"/>
        <v>7</v>
      </c>
      <c r="W220">
        <v>4</v>
      </c>
      <c r="Y220">
        <v>2</v>
      </c>
      <c r="Z220">
        <v>1</v>
      </c>
      <c r="AA220">
        <f t="shared" si="62"/>
        <v>0.5714285714285714</v>
      </c>
      <c r="AB220">
        <f t="shared" si="63"/>
        <v>0.66666666666666663</v>
      </c>
      <c r="AC220">
        <f t="shared" si="64"/>
        <v>0.8</v>
      </c>
      <c r="AD220">
        <f t="shared" si="65"/>
        <v>0.72727272727272718</v>
      </c>
    </row>
    <row r="221" spans="1:30" x14ac:dyDescent="0.2">
      <c r="A221" s="23"/>
      <c r="B221" t="s">
        <v>72</v>
      </c>
      <c r="C221">
        <f t="shared" si="50"/>
        <v>20</v>
      </c>
      <c r="D221">
        <f t="shared" si="51"/>
        <v>9</v>
      </c>
      <c r="E221">
        <v>9</v>
      </c>
      <c r="I221">
        <f t="shared" si="52"/>
        <v>1</v>
      </c>
      <c r="J221">
        <f t="shared" si="53"/>
        <v>1</v>
      </c>
      <c r="K221">
        <f t="shared" si="54"/>
        <v>1</v>
      </c>
      <c r="L221">
        <f t="shared" si="55"/>
        <v>1</v>
      </c>
      <c r="M221">
        <f t="shared" si="56"/>
        <v>5</v>
      </c>
      <c r="N221">
        <v>5</v>
      </c>
      <c r="R221">
        <f t="shared" si="57"/>
        <v>1</v>
      </c>
      <c r="S221">
        <f t="shared" si="58"/>
        <v>1</v>
      </c>
      <c r="T221">
        <f t="shared" si="59"/>
        <v>1</v>
      </c>
      <c r="U221">
        <f t="shared" si="60"/>
        <v>1</v>
      </c>
      <c r="V221">
        <f t="shared" si="61"/>
        <v>6</v>
      </c>
      <c r="W221">
        <v>6</v>
      </c>
      <c r="AA221">
        <f t="shared" si="62"/>
        <v>1</v>
      </c>
      <c r="AB221">
        <f t="shared" si="63"/>
        <v>1</v>
      </c>
      <c r="AC221">
        <f t="shared" si="64"/>
        <v>1</v>
      </c>
      <c r="AD221">
        <f t="shared" si="65"/>
        <v>1</v>
      </c>
    </row>
    <row r="222" spans="1:30" x14ac:dyDescent="0.2">
      <c r="A222" s="23"/>
      <c r="B222" t="s">
        <v>71</v>
      </c>
      <c r="C222">
        <f t="shared" si="50"/>
        <v>20</v>
      </c>
      <c r="D222">
        <f t="shared" si="51"/>
        <v>7</v>
      </c>
      <c r="E222">
        <v>7</v>
      </c>
      <c r="I222">
        <f t="shared" si="52"/>
        <v>1</v>
      </c>
      <c r="J222">
        <f t="shared" si="53"/>
        <v>1</v>
      </c>
      <c r="K222">
        <f t="shared" si="54"/>
        <v>1</v>
      </c>
      <c r="L222">
        <f t="shared" si="55"/>
        <v>1</v>
      </c>
      <c r="M222">
        <f t="shared" si="56"/>
        <v>8</v>
      </c>
      <c r="N222">
        <v>8</v>
      </c>
      <c r="R222">
        <f t="shared" si="57"/>
        <v>1</v>
      </c>
      <c r="S222">
        <f t="shared" si="58"/>
        <v>1</v>
      </c>
      <c r="T222">
        <f t="shared" si="59"/>
        <v>1</v>
      </c>
      <c r="U222">
        <f t="shared" si="60"/>
        <v>1</v>
      </c>
      <c r="V222">
        <f t="shared" si="61"/>
        <v>5</v>
      </c>
      <c r="W222">
        <v>5</v>
      </c>
      <c r="AA222">
        <f t="shared" si="62"/>
        <v>1</v>
      </c>
      <c r="AB222">
        <f t="shared" si="63"/>
        <v>1</v>
      </c>
      <c r="AC222">
        <f t="shared" si="64"/>
        <v>1</v>
      </c>
      <c r="AD222">
        <f t="shared" si="65"/>
        <v>1</v>
      </c>
    </row>
    <row r="223" spans="1:30" x14ac:dyDescent="0.2">
      <c r="A223" s="23"/>
      <c r="B223" t="s">
        <v>70</v>
      </c>
      <c r="C223">
        <f t="shared" si="50"/>
        <v>20</v>
      </c>
      <c r="D223">
        <f t="shared" si="51"/>
        <v>12</v>
      </c>
      <c r="E223">
        <v>10</v>
      </c>
      <c r="H223">
        <v>2</v>
      </c>
      <c r="I223">
        <f t="shared" si="52"/>
        <v>0.83333333333333337</v>
      </c>
      <c r="J223">
        <f t="shared" si="53"/>
        <v>1</v>
      </c>
      <c r="K223">
        <f t="shared" si="54"/>
        <v>0.83333333333333337</v>
      </c>
      <c r="L223">
        <f t="shared" si="55"/>
        <v>0.90909090909090906</v>
      </c>
      <c r="M223">
        <f t="shared" si="56"/>
        <v>4</v>
      </c>
      <c r="N223">
        <v>4</v>
      </c>
      <c r="R223">
        <f t="shared" si="57"/>
        <v>1</v>
      </c>
      <c r="S223">
        <f t="shared" si="58"/>
        <v>1</v>
      </c>
      <c r="T223">
        <f t="shared" si="59"/>
        <v>1</v>
      </c>
      <c r="U223">
        <f t="shared" si="60"/>
        <v>1</v>
      </c>
      <c r="V223">
        <f t="shared" si="61"/>
        <v>4</v>
      </c>
      <c r="W223">
        <v>4</v>
      </c>
      <c r="AA223">
        <f t="shared" si="62"/>
        <v>1</v>
      </c>
      <c r="AB223">
        <f t="shared" si="63"/>
        <v>1</v>
      </c>
      <c r="AC223">
        <f t="shared" si="64"/>
        <v>1</v>
      </c>
      <c r="AD223">
        <f t="shared" si="65"/>
        <v>1</v>
      </c>
    </row>
    <row r="224" spans="1:30" x14ac:dyDescent="0.2">
      <c r="A224" s="23"/>
      <c r="B224" t="s">
        <v>69</v>
      </c>
      <c r="C224">
        <f t="shared" si="50"/>
        <v>20</v>
      </c>
      <c r="D224">
        <f t="shared" si="51"/>
        <v>11</v>
      </c>
      <c r="E224">
        <v>10</v>
      </c>
      <c r="F224">
        <v>1</v>
      </c>
      <c r="I224">
        <f t="shared" si="52"/>
        <v>1</v>
      </c>
      <c r="J224">
        <f t="shared" si="53"/>
        <v>1</v>
      </c>
      <c r="K224">
        <f t="shared" si="54"/>
        <v>1</v>
      </c>
      <c r="L224">
        <f t="shared" si="55"/>
        <v>1</v>
      </c>
      <c r="M224">
        <f t="shared" si="56"/>
        <v>5</v>
      </c>
      <c r="N224">
        <v>5</v>
      </c>
      <c r="R224">
        <f t="shared" si="57"/>
        <v>1</v>
      </c>
      <c r="S224">
        <f t="shared" si="58"/>
        <v>1</v>
      </c>
      <c r="T224">
        <f t="shared" si="59"/>
        <v>1</v>
      </c>
      <c r="U224">
        <f t="shared" si="60"/>
        <v>1</v>
      </c>
      <c r="V224">
        <f t="shared" si="61"/>
        <v>4</v>
      </c>
      <c r="W224">
        <v>4</v>
      </c>
      <c r="AA224">
        <f t="shared" si="62"/>
        <v>1</v>
      </c>
      <c r="AB224">
        <f t="shared" si="63"/>
        <v>1</v>
      </c>
      <c r="AC224">
        <f t="shared" si="64"/>
        <v>1</v>
      </c>
      <c r="AD224">
        <f t="shared" si="65"/>
        <v>1</v>
      </c>
    </row>
    <row r="225" spans="1:30" x14ac:dyDescent="0.2">
      <c r="A225" s="23"/>
      <c r="B225" t="s">
        <v>68</v>
      </c>
      <c r="C225">
        <f t="shared" si="50"/>
        <v>20</v>
      </c>
      <c r="D225">
        <f t="shared" si="51"/>
        <v>6</v>
      </c>
      <c r="E225">
        <v>6</v>
      </c>
      <c r="I225">
        <f t="shared" si="52"/>
        <v>1</v>
      </c>
      <c r="J225">
        <f t="shared" si="53"/>
        <v>1</v>
      </c>
      <c r="K225">
        <f t="shared" si="54"/>
        <v>1</v>
      </c>
      <c r="L225">
        <f t="shared" si="55"/>
        <v>1</v>
      </c>
      <c r="M225">
        <f t="shared" si="56"/>
        <v>8</v>
      </c>
      <c r="N225">
        <v>8</v>
      </c>
      <c r="R225">
        <f t="shared" si="57"/>
        <v>1</v>
      </c>
      <c r="S225">
        <f t="shared" si="58"/>
        <v>1</v>
      </c>
      <c r="T225">
        <f t="shared" si="59"/>
        <v>1</v>
      </c>
      <c r="U225">
        <f t="shared" si="60"/>
        <v>1</v>
      </c>
      <c r="V225">
        <f t="shared" si="61"/>
        <v>6</v>
      </c>
      <c r="W225">
        <v>6</v>
      </c>
      <c r="AA225">
        <f t="shared" si="62"/>
        <v>1</v>
      </c>
      <c r="AB225">
        <f t="shared" si="63"/>
        <v>1</v>
      </c>
      <c r="AC225">
        <f t="shared" si="64"/>
        <v>1</v>
      </c>
      <c r="AD225">
        <f t="shared" si="65"/>
        <v>1</v>
      </c>
    </row>
    <row r="226" spans="1:30" x14ac:dyDescent="0.2">
      <c r="A226" s="23"/>
      <c r="B226" t="s">
        <v>67</v>
      </c>
      <c r="C226">
        <f t="shared" si="50"/>
        <v>20</v>
      </c>
      <c r="D226">
        <f t="shared" si="51"/>
        <v>9</v>
      </c>
      <c r="E226">
        <v>4</v>
      </c>
      <c r="G226">
        <v>2</v>
      </c>
      <c r="H226">
        <v>3</v>
      </c>
      <c r="I226">
        <f t="shared" si="52"/>
        <v>0.44444444444444442</v>
      </c>
      <c r="J226">
        <f t="shared" si="53"/>
        <v>0.66666666666666663</v>
      </c>
      <c r="K226">
        <f t="shared" si="54"/>
        <v>0.5714285714285714</v>
      </c>
      <c r="L226">
        <f t="shared" si="55"/>
        <v>0.61538461538461531</v>
      </c>
      <c r="M226">
        <f t="shared" si="56"/>
        <v>2</v>
      </c>
      <c r="P226">
        <v>2</v>
      </c>
      <c r="R226">
        <f t="shared" si="57"/>
        <v>0</v>
      </c>
      <c r="S226">
        <f t="shared" si="58"/>
        <v>0</v>
      </c>
      <c r="T226" t="e">
        <f t="shared" si="59"/>
        <v>#DIV/0!</v>
      </c>
      <c r="U226" t="e">
        <f t="shared" si="60"/>
        <v>#DIV/0!</v>
      </c>
      <c r="V226">
        <f t="shared" si="61"/>
        <v>9</v>
      </c>
      <c r="W226">
        <v>8</v>
      </c>
      <c r="Z226">
        <v>1</v>
      </c>
      <c r="AA226">
        <f t="shared" si="62"/>
        <v>0.88888888888888884</v>
      </c>
      <c r="AB226">
        <f t="shared" si="63"/>
        <v>1</v>
      </c>
      <c r="AC226">
        <f t="shared" si="64"/>
        <v>0.88888888888888884</v>
      </c>
      <c r="AD226">
        <f t="shared" si="65"/>
        <v>0.94117647058823528</v>
      </c>
    </row>
    <row r="227" spans="1:30" x14ac:dyDescent="0.2">
      <c r="A227" s="23"/>
      <c r="B227" t="s">
        <v>66</v>
      </c>
      <c r="C227">
        <f t="shared" si="50"/>
        <v>20</v>
      </c>
      <c r="D227">
        <f t="shared" si="51"/>
        <v>7</v>
      </c>
      <c r="E227">
        <v>7</v>
      </c>
      <c r="I227">
        <f t="shared" si="52"/>
        <v>1</v>
      </c>
      <c r="J227">
        <f t="shared" si="53"/>
        <v>1</v>
      </c>
      <c r="K227">
        <f t="shared" si="54"/>
        <v>1</v>
      </c>
      <c r="L227">
        <f t="shared" si="55"/>
        <v>1</v>
      </c>
      <c r="M227">
        <f t="shared" si="56"/>
        <v>6</v>
      </c>
      <c r="N227">
        <v>6</v>
      </c>
      <c r="R227">
        <f t="shared" si="57"/>
        <v>1</v>
      </c>
      <c r="S227">
        <f t="shared" si="58"/>
        <v>1</v>
      </c>
      <c r="T227">
        <f t="shared" si="59"/>
        <v>1</v>
      </c>
      <c r="U227">
        <f t="shared" si="60"/>
        <v>1</v>
      </c>
      <c r="V227">
        <f t="shared" si="61"/>
        <v>7</v>
      </c>
      <c r="W227">
        <v>7</v>
      </c>
      <c r="AA227">
        <f t="shared" si="62"/>
        <v>1</v>
      </c>
      <c r="AB227">
        <f t="shared" si="63"/>
        <v>1</v>
      </c>
      <c r="AC227">
        <f t="shared" si="64"/>
        <v>1</v>
      </c>
      <c r="AD227">
        <f t="shared" si="65"/>
        <v>1</v>
      </c>
    </row>
    <row r="228" spans="1:30" x14ac:dyDescent="0.2">
      <c r="A228" s="23"/>
      <c r="B228" t="s">
        <v>65</v>
      </c>
      <c r="C228">
        <f t="shared" si="50"/>
        <v>20</v>
      </c>
      <c r="D228">
        <f t="shared" si="51"/>
        <v>8</v>
      </c>
      <c r="E228">
        <v>8</v>
      </c>
      <c r="I228">
        <f t="shared" si="52"/>
        <v>1</v>
      </c>
      <c r="J228">
        <f t="shared" si="53"/>
        <v>1</v>
      </c>
      <c r="K228">
        <f t="shared" si="54"/>
        <v>1</v>
      </c>
      <c r="L228">
        <f t="shared" si="55"/>
        <v>1</v>
      </c>
      <c r="M228">
        <f t="shared" si="56"/>
        <v>5</v>
      </c>
      <c r="N228">
        <v>5</v>
      </c>
      <c r="R228">
        <f t="shared" si="57"/>
        <v>1</v>
      </c>
      <c r="S228">
        <f t="shared" si="58"/>
        <v>1</v>
      </c>
      <c r="T228">
        <f t="shared" si="59"/>
        <v>1</v>
      </c>
      <c r="U228">
        <f t="shared" si="60"/>
        <v>1</v>
      </c>
      <c r="V228">
        <f t="shared" si="61"/>
        <v>7</v>
      </c>
      <c r="W228">
        <v>7</v>
      </c>
      <c r="AA228">
        <f t="shared" si="62"/>
        <v>1</v>
      </c>
      <c r="AB228">
        <f t="shared" si="63"/>
        <v>1</v>
      </c>
      <c r="AC228">
        <f t="shared" si="64"/>
        <v>1</v>
      </c>
      <c r="AD228">
        <f t="shared" si="65"/>
        <v>1</v>
      </c>
    </row>
    <row r="229" spans="1:30" x14ac:dyDescent="0.2">
      <c r="A229" s="23"/>
      <c r="B229" t="s">
        <v>64</v>
      </c>
      <c r="C229">
        <f t="shared" si="50"/>
        <v>20</v>
      </c>
      <c r="D229">
        <f t="shared" si="51"/>
        <v>6</v>
      </c>
      <c r="E229">
        <v>6</v>
      </c>
      <c r="I229">
        <f t="shared" si="52"/>
        <v>1</v>
      </c>
      <c r="J229">
        <f t="shared" si="53"/>
        <v>1</v>
      </c>
      <c r="K229">
        <f t="shared" si="54"/>
        <v>1</v>
      </c>
      <c r="L229">
        <f t="shared" si="55"/>
        <v>1</v>
      </c>
      <c r="M229">
        <f t="shared" si="56"/>
        <v>4</v>
      </c>
      <c r="N229">
        <v>4</v>
      </c>
      <c r="R229">
        <f t="shared" si="57"/>
        <v>1</v>
      </c>
      <c r="S229">
        <f t="shared" si="58"/>
        <v>1</v>
      </c>
      <c r="T229">
        <f t="shared" si="59"/>
        <v>1</v>
      </c>
      <c r="U229">
        <f t="shared" si="60"/>
        <v>1</v>
      </c>
      <c r="V229">
        <f t="shared" si="61"/>
        <v>10</v>
      </c>
      <c r="W229">
        <v>10</v>
      </c>
      <c r="AA229">
        <f t="shared" si="62"/>
        <v>1</v>
      </c>
      <c r="AB229">
        <f t="shared" si="63"/>
        <v>1</v>
      </c>
      <c r="AC229">
        <f t="shared" si="64"/>
        <v>1</v>
      </c>
      <c r="AD229">
        <f t="shared" si="65"/>
        <v>1</v>
      </c>
    </row>
    <row r="230" spans="1:30" x14ac:dyDescent="0.2">
      <c r="A230" s="23"/>
      <c r="B230" t="s">
        <v>63</v>
      </c>
      <c r="C230">
        <f t="shared" si="50"/>
        <v>20</v>
      </c>
      <c r="D230">
        <f t="shared" si="51"/>
        <v>7</v>
      </c>
      <c r="E230">
        <v>7</v>
      </c>
      <c r="I230">
        <f t="shared" si="52"/>
        <v>1</v>
      </c>
      <c r="J230">
        <f t="shared" si="53"/>
        <v>1</v>
      </c>
      <c r="K230">
        <f t="shared" si="54"/>
        <v>1</v>
      </c>
      <c r="L230">
        <f t="shared" si="55"/>
        <v>1</v>
      </c>
      <c r="M230">
        <f t="shared" si="56"/>
        <v>6</v>
      </c>
      <c r="N230">
        <v>6</v>
      </c>
      <c r="R230">
        <f t="shared" si="57"/>
        <v>1</v>
      </c>
      <c r="S230">
        <f t="shared" si="58"/>
        <v>1</v>
      </c>
      <c r="T230">
        <f t="shared" si="59"/>
        <v>1</v>
      </c>
      <c r="U230">
        <f t="shared" si="60"/>
        <v>1</v>
      </c>
      <c r="V230">
        <f t="shared" si="61"/>
        <v>7</v>
      </c>
      <c r="W230">
        <v>7</v>
      </c>
      <c r="AA230">
        <f t="shared" si="62"/>
        <v>1</v>
      </c>
      <c r="AB230">
        <f t="shared" si="63"/>
        <v>1</v>
      </c>
      <c r="AC230">
        <f t="shared" si="64"/>
        <v>1</v>
      </c>
      <c r="AD230">
        <f t="shared" si="65"/>
        <v>1</v>
      </c>
    </row>
    <row r="231" spans="1:30" x14ac:dyDescent="0.2">
      <c r="A231" s="23"/>
      <c r="B231" t="s">
        <v>62</v>
      </c>
      <c r="C231">
        <f t="shared" si="50"/>
        <v>20</v>
      </c>
      <c r="D231">
        <f t="shared" si="51"/>
        <v>7</v>
      </c>
      <c r="E231">
        <v>7</v>
      </c>
      <c r="I231">
        <f t="shared" si="52"/>
        <v>1</v>
      </c>
      <c r="J231">
        <f t="shared" si="53"/>
        <v>1</v>
      </c>
      <c r="K231">
        <f t="shared" si="54"/>
        <v>1</v>
      </c>
      <c r="L231">
        <f t="shared" si="55"/>
        <v>1</v>
      </c>
      <c r="M231">
        <f t="shared" si="56"/>
        <v>5</v>
      </c>
      <c r="N231">
        <v>4</v>
      </c>
      <c r="P231">
        <v>1</v>
      </c>
      <c r="R231">
        <f t="shared" si="57"/>
        <v>0.8</v>
      </c>
      <c r="S231">
        <f t="shared" si="58"/>
        <v>0.8</v>
      </c>
      <c r="T231">
        <f t="shared" si="59"/>
        <v>1</v>
      </c>
      <c r="U231">
        <f t="shared" si="60"/>
        <v>0.88888888888888895</v>
      </c>
      <c r="V231">
        <f t="shared" si="61"/>
        <v>8</v>
      </c>
      <c r="W231">
        <v>8</v>
      </c>
      <c r="AA231">
        <f t="shared" si="62"/>
        <v>1</v>
      </c>
      <c r="AB231">
        <f t="shared" si="63"/>
        <v>1</v>
      </c>
      <c r="AC231">
        <f t="shared" si="64"/>
        <v>1</v>
      </c>
      <c r="AD231">
        <f t="shared" si="65"/>
        <v>1</v>
      </c>
    </row>
    <row r="232" spans="1:30" x14ac:dyDescent="0.2">
      <c r="A232" s="23"/>
      <c r="B232" t="s">
        <v>61</v>
      </c>
      <c r="C232">
        <f t="shared" si="50"/>
        <v>20</v>
      </c>
      <c r="D232">
        <f t="shared" si="51"/>
        <v>7</v>
      </c>
      <c r="E232">
        <v>7</v>
      </c>
      <c r="I232">
        <f t="shared" si="52"/>
        <v>1</v>
      </c>
      <c r="J232">
        <f t="shared" si="53"/>
        <v>1</v>
      </c>
      <c r="K232">
        <f t="shared" si="54"/>
        <v>1</v>
      </c>
      <c r="L232">
        <f t="shared" si="55"/>
        <v>1</v>
      </c>
      <c r="M232">
        <f t="shared" si="56"/>
        <v>6</v>
      </c>
      <c r="N232">
        <v>6</v>
      </c>
      <c r="R232">
        <f t="shared" si="57"/>
        <v>1</v>
      </c>
      <c r="S232">
        <f t="shared" si="58"/>
        <v>1</v>
      </c>
      <c r="T232">
        <f t="shared" si="59"/>
        <v>1</v>
      </c>
      <c r="U232">
        <f t="shared" si="60"/>
        <v>1</v>
      </c>
      <c r="V232">
        <f t="shared" si="61"/>
        <v>7</v>
      </c>
      <c r="W232">
        <v>7</v>
      </c>
      <c r="AA232">
        <f t="shared" si="62"/>
        <v>1</v>
      </c>
      <c r="AB232">
        <f t="shared" si="63"/>
        <v>1</v>
      </c>
      <c r="AC232">
        <f t="shared" si="64"/>
        <v>1</v>
      </c>
      <c r="AD232">
        <f t="shared" si="65"/>
        <v>1</v>
      </c>
    </row>
    <row r="233" spans="1:30" x14ac:dyDescent="0.2">
      <c r="A233" s="6" t="s">
        <v>60</v>
      </c>
      <c r="B233" t="s">
        <v>59</v>
      </c>
      <c r="C233">
        <f t="shared" si="50"/>
        <v>20</v>
      </c>
      <c r="D233">
        <f t="shared" si="51"/>
        <v>7</v>
      </c>
      <c r="E233">
        <v>7</v>
      </c>
      <c r="I233">
        <f t="shared" si="52"/>
        <v>1</v>
      </c>
      <c r="J233">
        <f t="shared" si="53"/>
        <v>1</v>
      </c>
      <c r="K233">
        <f t="shared" si="54"/>
        <v>1</v>
      </c>
      <c r="L233">
        <f t="shared" si="55"/>
        <v>1</v>
      </c>
      <c r="M233">
        <f t="shared" si="56"/>
        <v>5</v>
      </c>
      <c r="N233">
        <v>4</v>
      </c>
      <c r="P233">
        <v>1</v>
      </c>
      <c r="R233">
        <f t="shared" si="57"/>
        <v>0.8</v>
      </c>
      <c r="S233">
        <f t="shared" si="58"/>
        <v>0.8</v>
      </c>
      <c r="T233">
        <f t="shared" si="59"/>
        <v>1</v>
      </c>
      <c r="U233">
        <f t="shared" si="60"/>
        <v>0.88888888888888895</v>
      </c>
      <c r="V233">
        <f>SUM(W233:Z233)</f>
        <v>8</v>
      </c>
      <c r="W233">
        <v>8</v>
      </c>
      <c r="AA233">
        <f t="shared" si="62"/>
        <v>1</v>
      </c>
      <c r="AB233">
        <f t="shared" si="63"/>
        <v>1</v>
      </c>
      <c r="AC233">
        <f t="shared" si="64"/>
        <v>1</v>
      </c>
      <c r="AD233">
        <f t="shared" si="65"/>
        <v>1</v>
      </c>
    </row>
    <row r="234" spans="1:30" x14ac:dyDescent="0.2">
      <c r="A234" s="23" t="s">
        <v>58</v>
      </c>
      <c r="B234" t="s">
        <v>57</v>
      </c>
      <c r="C234">
        <f t="shared" si="50"/>
        <v>10</v>
      </c>
      <c r="D234">
        <f t="shared" si="51"/>
        <v>3</v>
      </c>
      <c r="E234">
        <v>3</v>
      </c>
      <c r="I234">
        <f t="shared" si="52"/>
        <v>1</v>
      </c>
      <c r="J234">
        <f t="shared" si="53"/>
        <v>1</v>
      </c>
      <c r="K234">
        <f t="shared" si="54"/>
        <v>1</v>
      </c>
      <c r="L234">
        <f t="shared" si="55"/>
        <v>1</v>
      </c>
      <c r="M234">
        <f>SUM(N234:Q234)</f>
        <v>2</v>
      </c>
      <c r="N234">
        <v>2</v>
      </c>
      <c r="R234">
        <f t="shared" si="57"/>
        <v>1</v>
      </c>
      <c r="S234">
        <f t="shared" si="58"/>
        <v>1</v>
      </c>
      <c r="T234">
        <f t="shared" si="59"/>
        <v>1</v>
      </c>
      <c r="U234">
        <f t="shared" si="60"/>
        <v>1</v>
      </c>
      <c r="V234">
        <f t="shared" si="61"/>
        <v>5</v>
      </c>
      <c r="W234">
        <v>5</v>
      </c>
      <c r="AA234">
        <f t="shared" si="62"/>
        <v>1</v>
      </c>
      <c r="AB234">
        <f t="shared" si="63"/>
        <v>1</v>
      </c>
      <c r="AC234">
        <f t="shared" si="64"/>
        <v>1</v>
      </c>
      <c r="AD234">
        <f t="shared" si="65"/>
        <v>1</v>
      </c>
    </row>
    <row r="235" spans="1:30" x14ac:dyDescent="0.2">
      <c r="A235" s="23"/>
      <c r="B235" t="s">
        <v>56</v>
      </c>
      <c r="C235">
        <f t="shared" si="50"/>
        <v>20</v>
      </c>
      <c r="D235">
        <f t="shared" si="51"/>
        <v>6</v>
      </c>
      <c r="E235">
        <v>6</v>
      </c>
      <c r="I235">
        <f t="shared" si="52"/>
        <v>1</v>
      </c>
      <c r="J235">
        <f t="shared" si="53"/>
        <v>1</v>
      </c>
      <c r="K235">
        <f t="shared" si="54"/>
        <v>1</v>
      </c>
      <c r="L235">
        <f t="shared" si="55"/>
        <v>1</v>
      </c>
      <c r="M235">
        <f t="shared" si="56"/>
        <v>6</v>
      </c>
      <c r="N235">
        <v>6</v>
      </c>
      <c r="R235">
        <f t="shared" si="57"/>
        <v>1</v>
      </c>
      <c r="S235">
        <f t="shared" si="58"/>
        <v>1</v>
      </c>
      <c r="T235">
        <f t="shared" si="59"/>
        <v>1</v>
      </c>
      <c r="U235">
        <f t="shared" si="60"/>
        <v>1</v>
      </c>
      <c r="V235">
        <f t="shared" si="61"/>
        <v>8</v>
      </c>
      <c r="W235">
        <v>7</v>
      </c>
      <c r="Y235">
        <v>1</v>
      </c>
      <c r="AA235">
        <f t="shared" si="62"/>
        <v>0.875</v>
      </c>
      <c r="AB235">
        <f t="shared" si="63"/>
        <v>0.875</v>
      </c>
      <c r="AC235">
        <f t="shared" si="64"/>
        <v>1</v>
      </c>
      <c r="AD235">
        <f t="shared" si="65"/>
        <v>0.93333333333333335</v>
      </c>
    </row>
    <row r="236" spans="1:30" x14ac:dyDescent="0.2">
      <c r="A236" s="23"/>
      <c r="B236" t="s">
        <v>55</v>
      </c>
      <c r="C236">
        <f t="shared" si="50"/>
        <v>20</v>
      </c>
      <c r="D236">
        <f t="shared" si="51"/>
        <v>7</v>
      </c>
      <c r="E236">
        <v>7</v>
      </c>
      <c r="I236">
        <f t="shared" si="52"/>
        <v>1</v>
      </c>
      <c r="J236">
        <f t="shared" si="53"/>
        <v>1</v>
      </c>
      <c r="K236">
        <f t="shared" si="54"/>
        <v>1</v>
      </c>
      <c r="L236">
        <f t="shared" si="55"/>
        <v>1</v>
      </c>
      <c r="M236">
        <f t="shared" si="56"/>
        <v>4</v>
      </c>
      <c r="N236">
        <v>4</v>
      </c>
      <c r="R236">
        <f t="shared" si="57"/>
        <v>1</v>
      </c>
      <c r="S236">
        <f t="shared" si="58"/>
        <v>1</v>
      </c>
      <c r="T236">
        <f t="shared" si="59"/>
        <v>1</v>
      </c>
      <c r="U236">
        <f t="shared" si="60"/>
        <v>1</v>
      </c>
      <c r="V236">
        <f t="shared" si="61"/>
        <v>9</v>
      </c>
      <c r="W236">
        <v>9</v>
      </c>
      <c r="AA236">
        <f t="shared" si="62"/>
        <v>1</v>
      </c>
      <c r="AB236">
        <f t="shared" si="63"/>
        <v>1</v>
      </c>
      <c r="AC236">
        <f t="shared" si="64"/>
        <v>1</v>
      </c>
      <c r="AD236">
        <f t="shared" si="65"/>
        <v>1</v>
      </c>
    </row>
    <row r="237" spans="1:30" x14ac:dyDescent="0.2">
      <c r="A237" s="23"/>
      <c r="B237" t="s">
        <v>54</v>
      </c>
      <c r="C237">
        <f t="shared" si="50"/>
        <v>20</v>
      </c>
      <c r="D237">
        <f t="shared" si="51"/>
        <v>9</v>
      </c>
      <c r="E237">
        <v>9</v>
      </c>
      <c r="I237">
        <f t="shared" si="52"/>
        <v>1</v>
      </c>
      <c r="J237">
        <f t="shared" si="53"/>
        <v>1</v>
      </c>
      <c r="K237">
        <f t="shared" si="54"/>
        <v>1</v>
      </c>
      <c r="L237">
        <f t="shared" si="55"/>
        <v>1</v>
      </c>
      <c r="M237">
        <f t="shared" si="56"/>
        <v>5</v>
      </c>
      <c r="N237">
        <v>5</v>
      </c>
      <c r="R237">
        <f t="shared" si="57"/>
        <v>1</v>
      </c>
      <c r="S237">
        <f t="shared" si="58"/>
        <v>1</v>
      </c>
      <c r="T237">
        <f t="shared" si="59"/>
        <v>1</v>
      </c>
      <c r="U237">
        <f t="shared" si="60"/>
        <v>1</v>
      </c>
      <c r="V237">
        <f t="shared" si="61"/>
        <v>6</v>
      </c>
      <c r="W237">
        <v>6</v>
      </c>
      <c r="AA237">
        <f t="shared" si="62"/>
        <v>1</v>
      </c>
      <c r="AB237">
        <f t="shared" si="63"/>
        <v>1</v>
      </c>
      <c r="AC237">
        <f t="shared" si="64"/>
        <v>1</v>
      </c>
      <c r="AD237">
        <f t="shared" si="65"/>
        <v>1</v>
      </c>
    </row>
    <row r="238" spans="1:30" x14ac:dyDescent="0.2">
      <c r="A238" s="23"/>
      <c r="B238" t="s">
        <v>53</v>
      </c>
      <c r="C238">
        <f t="shared" si="50"/>
        <v>20</v>
      </c>
      <c r="D238">
        <f t="shared" si="51"/>
        <v>7</v>
      </c>
      <c r="H238">
        <v>7</v>
      </c>
      <c r="I238">
        <f t="shared" si="52"/>
        <v>0</v>
      </c>
      <c r="J238" t="e">
        <f t="shared" si="53"/>
        <v>#DIV/0!</v>
      </c>
      <c r="K238">
        <f t="shared" si="54"/>
        <v>0</v>
      </c>
      <c r="L238" t="e">
        <f t="shared" si="55"/>
        <v>#DIV/0!</v>
      </c>
      <c r="M238">
        <f t="shared" si="56"/>
        <v>7</v>
      </c>
      <c r="Q238">
        <v>7</v>
      </c>
      <c r="R238">
        <f t="shared" si="57"/>
        <v>0</v>
      </c>
      <c r="S238" t="e">
        <f t="shared" si="58"/>
        <v>#DIV/0!</v>
      </c>
      <c r="T238">
        <f t="shared" si="59"/>
        <v>0</v>
      </c>
      <c r="U238" t="e">
        <f t="shared" si="60"/>
        <v>#DIV/0!</v>
      </c>
      <c r="V238">
        <f t="shared" si="61"/>
        <v>6</v>
      </c>
      <c r="Z238">
        <v>6</v>
      </c>
      <c r="AA238">
        <f t="shared" si="62"/>
        <v>0</v>
      </c>
      <c r="AB238" t="e">
        <f t="shared" si="63"/>
        <v>#DIV/0!</v>
      </c>
      <c r="AC238">
        <f t="shared" si="64"/>
        <v>0</v>
      </c>
      <c r="AD238" t="e">
        <f t="shared" si="65"/>
        <v>#DIV/0!</v>
      </c>
    </row>
    <row r="239" spans="1:30" x14ac:dyDescent="0.2">
      <c r="A239" s="23" t="s">
        <v>52</v>
      </c>
      <c r="B239" t="s">
        <v>51</v>
      </c>
      <c r="C239">
        <f t="shared" si="50"/>
        <v>20</v>
      </c>
      <c r="D239">
        <f t="shared" si="51"/>
        <v>7</v>
      </c>
      <c r="E239">
        <v>7</v>
      </c>
      <c r="I239">
        <f t="shared" si="52"/>
        <v>1</v>
      </c>
      <c r="J239">
        <f t="shared" si="53"/>
        <v>1</v>
      </c>
      <c r="K239">
        <f t="shared" si="54"/>
        <v>1</v>
      </c>
      <c r="L239">
        <f t="shared" si="55"/>
        <v>1</v>
      </c>
      <c r="M239">
        <f t="shared" si="56"/>
        <v>6</v>
      </c>
      <c r="N239">
        <v>6</v>
      </c>
      <c r="R239">
        <f t="shared" si="57"/>
        <v>1</v>
      </c>
      <c r="S239">
        <f t="shared" si="58"/>
        <v>1</v>
      </c>
      <c r="T239">
        <f t="shared" si="59"/>
        <v>1</v>
      </c>
      <c r="U239">
        <f t="shared" si="60"/>
        <v>1</v>
      </c>
      <c r="V239">
        <f t="shared" si="61"/>
        <v>7</v>
      </c>
      <c r="W239">
        <v>7</v>
      </c>
      <c r="AA239">
        <f t="shared" si="62"/>
        <v>1</v>
      </c>
      <c r="AB239">
        <f t="shared" si="63"/>
        <v>1</v>
      </c>
      <c r="AC239">
        <f t="shared" si="64"/>
        <v>1</v>
      </c>
      <c r="AD239">
        <f t="shared" si="65"/>
        <v>1</v>
      </c>
    </row>
    <row r="240" spans="1:30" x14ac:dyDescent="0.2">
      <c r="A240" s="23"/>
      <c r="B240" t="s">
        <v>50</v>
      </c>
      <c r="C240">
        <f t="shared" si="50"/>
        <v>20</v>
      </c>
      <c r="D240">
        <f t="shared" si="51"/>
        <v>7</v>
      </c>
      <c r="E240">
        <v>7</v>
      </c>
      <c r="I240">
        <f t="shared" si="52"/>
        <v>1</v>
      </c>
      <c r="J240">
        <f t="shared" si="53"/>
        <v>1</v>
      </c>
      <c r="K240">
        <f t="shared" si="54"/>
        <v>1</v>
      </c>
      <c r="L240">
        <f t="shared" si="55"/>
        <v>1</v>
      </c>
      <c r="M240">
        <f t="shared" si="56"/>
        <v>6</v>
      </c>
      <c r="N240">
        <v>5</v>
      </c>
      <c r="P240">
        <v>1</v>
      </c>
      <c r="R240">
        <f t="shared" si="57"/>
        <v>0.83333333333333337</v>
      </c>
      <c r="S240">
        <f t="shared" si="58"/>
        <v>0.83333333333333337</v>
      </c>
      <c r="T240">
        <f t="shared" si="59"/>
        <v>1</v>
      </c>
      <c r="U240">
        <f t="shared" si="60"/>
        <v>0.90909090909090906</v>
      </c>
      <c r="V240">
        <f t="shared" si="61"/>
        <v>7</v>
      </c>
      <c r="W240">
        <v>6</v>
      </c>
      <c r="Y240">
        <v>1</v>
      </c>
      <c r="AA240">
        <f t="shared" si="62"/>
        <v>0.8571428571428571</v>
      </c>
      <c r="AB240">
        <f t="shared" si="63"/>
        <v>0.8571428571428571</v>
      </c>
      <c r="AC240">
        <f t="shared" si="64"/>
        <v>1</v>
      </c>
      <c r="AD240">
        <f t="shared" si="65"/>
        <v>0.92307692307692302</v>
      </c>
    </row>
    <row r="241" spans="1:30" x14ac:dyDescent="0.2">
      <c r="A241" s="23"/>
      <c r="B241" t="s">
        <v>49</v>
      </c>
      <c r="C241">
        <f t="shared" si="50"/>
        <v>10</v>
      </c>
      <c r="D241">
        <f t="shared" si="51"/>
        <v>2</v>
      </c>
      <c r="E241">
        <v>2</v>
      </c>
      <c r="I241">
        <f t="shared" si="52"/>
        <v>1</v>
      </c>
      <c r="J241">
        <f t="shared" si="53"/>
        <v>1</v>
      </c>
      <c r="K241">
        <f t="shared" si="54"/>
        <v>1</v>
      </c>
      <c r="L241">
        <f t="shared" si="55"/>
        <v>1</v>
      </c>
      <c r="M241">
        <f t="shared" si="56"/>
        <v>3</v>
      </c>
      <c r="N241">
        <v>3</v>
      </c>
      <c r="R241">
        <f t="shared" si="57"/>
        <v>1</v>
      </c>
      <c r="S241">
        <f t="shared" si="58"/>
        <v>1</v>
      </c>
      <c r="T241">
        <f t="shared" si="59"/>
        <v>1</v>
      </c>
      <c r="U241">
        <f t="shared" si="60"/>
        <v>1</v>
      </c>
      <c r="V241">
        <f t="shared" si="61"/>
        <v>5</v>
      </c>
      <c r="W241">
        <v>4</v>
      </c>
      <c r="Y241">
        <v>1</v>
      </c>
      <c r="AA241">
        <f t="shared" si="62"/>
        <v>0.8</v>
      </c>
      <c r="AB241">
        <f t="shared" si="63"/>
        <v>0.8</v>
      </c>
      <c r="AC241">
        <f t="shared" si="64"/>
        <v>1</v>
      </c>
      <c r="AD241">
        <f t="shared" si="65"/>
        <v>0.88888888888888895</v>
      </c>
    </row>
    <row r="242" spans="1:30" x14ac:dyDescent="0.2">
      <c r="A242" s="23"/>
      <c r="B242" t="s">
        <v>48</v>
      </c>
      <c r="C242">
        <f t="shared" si="50"/>
        <v>15</v>
      </c>
      <c r="D242">
        <f t="shared" si="51"/>
        <v>3</v>
      </c>
      <c r="E242">
        <v>3</v>
      </c>
      <c r="I242">
        <f t="shared" si="52"/>
        <v>1</v>
      </c>
      <c r="J242">
        <f t="shared" si="53"/>
        <v>1</v>
      </c>
      <c r="K242">
        <f t="shared" si="54"/>
        <v>1</v>
      </c>
      <c r="L242">
        <f t="shared" si="55"/>
        <v>1</v>
      </c>
      <c r="M242">
        <f t="shared" si="56"/>
        <v>4</v>
      </c>
      <c r="N242">
        <v>4</v>
      </c>
      <c r="R242">
        <f t="shared" si="57"/>
        <v>1</v>
      </c>
      <c r="S242">
        <f t="shared" si="58"/>
        <v>1</v>
      </c>
      <c r="T242">
        <f t="shared" si="59"/>
        <v>1</v>
      </c>
      <c r="U242">
        <f t="shared" si="60"/>
        <v>1</v>
      </c>
      <c r="V242">
        <f t="shared" si="61"/>
        <v>8</v>
      </c>
      <c r="W242">
        <v>8</v>
      </c>
      <c r="AA242">
        <f t="shared" si="62"/>
        <v>1</v>
      </c>
      <c r="AB242">
        <f t="shared" si="63"/>
        <v>1</v>
      </c>
      <c r="AC242">
        <f t="shared" si="64"/>
        <v>1</v>
      </c>
      <c r="AD242">
        <f t="shared" si="65"/>
        <v>1</v>
      </c>
    </row>
    <row r="243" spans="1:30" x14ac:dyDescent="0.2">
      <c r="A243" s="23"/>
      <c r="B243" t="s">
        <v>47</v>
      </c>
      <c r="C243">
        <f t="shared" si="50"/>
        <v>20</v>
      </c>
      <c r="D243">
        <f t="shared" si="51"/>
        <v>12</v>
      </c>
      <c r="E243">
        <v>12</v>
      </c>
      <c r="I243">
        <f t="shared" si="52"/>
        <v>1</v>
      </c>
      <c r="J243">
        <f t="shared" si="53"/>
        <v>1</v>
      </c>
      <c r="K243">
        <f t="shared" si="54"/>
        <v>1</v>
      </c>
      <c r="L243">
        <f t="shared" si="55"/>
        <v>1</v>
      </c>
      <c r="M243">
        <f t="shared" si="56"/>
        <v>4</v>
      </c>
      <c r="N243">
        <v>4</v>
      </c>
      <c r="R243">
        <f t="shared" si="57"/>
        <v>1</v>
      </c>
      <c r="S243">
        <f t="shared" si="58"/>
        <v>1</v>
      </c>
      <c r="T243">
        <f t="shared" si="59"/>
        <v>1</v>
      </c>
      <c r="U243">
        <f t="shared" si="60"/>
        <v>1</v>
      </c>
      <c r="V243">
        <f t="shared" si="61"/>
        <v>4</v>
      </c>
      <c r="W243">
        <v>4</v>
      </c>
      <c r="AA243">
        <f t="shared" si="62"/>
        <v>1</v>
      </c>
      <c r="AB243">
        <f t="shared" si="63"/>
        <v>1</v>
      </c>
      <c r="AC243">
        <f t="shared" si="64"/>
        <v>1</v>
      </c>
      <c r="AD243">
        <f t="shared" si="65"/>
        <v>1</v>
      </c>
    </row>
    <row r="244" spans="1:30" x14ac:dyDescent="0.2">
      <c r="A244" s="23"/>
      <c r="B244" t="s">
        <v>46</v>
      </c>
      <c r="C244">
        <f t="shared" si="50"/>
        <v>10</v>
      </c>
      <c r="D244">
        <f t="shared" si="51"/>
        <v>0</v>
      </c>
      <c r="I244" t="e">
        <f t="shared" si="52"/>
        <v>#DIV/0!</v>
      </c>
      <c r="J244" t="e">
        <f t="shared" si="53"/>
        <v>#DIV/0!</v>
      </c>
      <c r="K244" t="e">
        <f t="shared" si="54"/>
        <v>#DIV/0!</v>
      </c>
      <c r="L244" t="e">
        <f t="shared" si="55"/>
        <v>#DIV/0!</v>
      </c>
      <c r="M244">
        <f t="shared" si="56"/>
        <v>2</v>
      </c>
      <c r="N244">
        <v>2</v>
      </c>
      <c r="R244">
        <f t="shared" si="57"/>
        <v>1</v>
      </c>
      <c r="S244">
        <f t="shared" si="58"/>
        <v>1</v>
      </c>
      <c r="T244">
        <f t="shared" si="59"/>
        <v>1</v>
      </c>
      <c r="U244">
        <f t="shared" si="60"/>
        <v>1</v>
      </c>
      <c r="V244">
        <f t="shared" si="61"/>
        <v>8</v>
      </c>
      <c r="W244">
        <v>8</v>
      </c>
      <c r="AA244">
        <f t="shared" si="62"/>
        <v>1</v>
      </c>
      <c r="AB244">
        <f t="shared" si="63"/>
        <v>1</v>
      </c>
      <c r="AC244">
        <f t="shared" si="64"/>
        <v>1</v>
      </c>
      <c r="AD244">
        <f t="shared" si="65"/>
        <v>1</v>
      </c>
    </row>
    <row r="245" spans="1:30" x14ac:dyDescent="0.2">
      <c r="A245" s="23"/>
      <c r="B245" t="s">
        <v>45</v>
      </c>
      <c r="C245">
        <f t="shared" si="50"/>
        <v>20</v>
      </c>
      <c r="D245">
        <f t="shared" si="51"/>
        <v>8</v>
      </c>
      <c r="E245">
        <v>6</v>
      </c>
      <c r="G245">
        <v>2</v>
      </c>
      <c r="I245">
        <f t="shared" si="52"/>
        <v>0.75</v>
      </c>
      <c r="J245">
        <f t="shared" si="53"/>
        <v>0.75</v>
      </c>
      <c r="K245">
        <f t="shared" si="54"/>
        <v>1</v>
      </c>
      <c r="L245">
        <f t="shared" si="55"/>
        <v>0.8571428571428571</v>
      </c>
      <c r="M245">
        <f t="shared" si="56"/>
        <v>9</v>
      </c>
      <c r="N245">
        <v>9</v>
      </c>
      <c r="R245">
        <f t="shared" si="57"/>
        <v>1</v>
      </c>
      <c r="S245">
        <f t="shared" si="58"/>
        <v>1</v>
      </c>
      <c r="T245">
        <f t="shared" si="59"/>
        <v>1</v>
      </c>
      <c r="U245">
        <f t="shared" si="60"/>
        <v>1</v>
      </c>
      <c r="V245">
        <f t="shared" si="61"/>
        <v>3</v>
      </c>
      <c r="W245">
        <v>3</v>
      </c>
      <c r="AA245">
        <f t="shared" si="62"/>
        <v>1</v>
      </c>
      <c r="AB245">
        <f t="shared" si="63"/>
        <v>1</v>
      </c>
      <c r="AC245">
        <f t="shared" si="64"/>
        <v>1</v>
      </c>
      <c r="AD245">
        <f t="shared" si="65"/>
        <v>1</v>
      </c>
    </row>
    <row r="246" spans="1:30" x14ac:dyDescent="0.2">
      <c r="A246" s="23"/>
      <c r="B246" t="s">
        <v>44</v>
      </c>
      <c r="C246">
        <f t="shared" si="50"/>
        <v>10</v>
      </c>
      <c r="D246">
        <f t="shared" si="51"/>
        <v>2</v>
      </c>
      <c r="E246">
        <v>2</v>
      </c>
      <c r="I246">
        <f t="shared" si="52"/>
        <v>1</v>
      </c>
      <c r="J246">
        <f t="shared" si="53"/>
        <v>1</v>
      </c>
      <c r="K246">
        <f t="shared" si="54"/>
        <v>1</v>
      </c>
      <c r="L246">
        <f t="shared" si="55"/>
        <v>1</v>
      </c>
      <c r="M246">
        <f t="shared" si="56"/>
        <v>4</v>
      </c>
      <c r="N246">
        <v>4</v>
      </c>
      <c r="R246">
        <f t="shared" si="57"/>
        <v>1</v>
      </c>
      <c r="S246">
        <f t="shared" si="58"/>
        <v>1</v>
      </c>
      <c r="T246">
        <f t="shared" si="59"/>
        <v>1</v>
      </c>
      <c r="U246">
        <f t="shared" si="60"/>
        <v>1</v>
      </c>
      <c r="V246">
        <f t="shared" si="61"/>
        <v>4</v>
      </c>
      <c r="W246">
        <v>4</v>
      </c>
      <c r="AA246">
        <f t="shared" si="62"/>
        <v>1</v>
      </c>
      <c r="AB246">
        <f t="shared" si="63"/>
        <v>1</v>
      </c>
      <c r="AC246">
        <f t="shared" si="64"/>
        <v>1</v>
      </c>
      <c r="AD246">
        <f t="shared" si="65"/>
        <v>1</v>
      </c>
    </row>
    <row r="247" spans="1:30" x14ac:dyDescent="0.2">
      <c r="A247" s="23"/>
      <c r="B247" t="s">
        <v>43</v>
      </c>
      <c r="C247">
        <f t="shared" si="50"/>
        <v>10</v>
      </c>
      <c r="D247">
        <f t="shared" si="51"/>
        <v>3</v>
      </c>
      <c r="E247">
        <v>3</v>
      </c>
      <c r="I247">
        <f t="shared" si="52"/>
        <v>1</v>
      </c>
      <c r="J247">
        <f t="shared" si="53"/>
        <v>1</v>
      </c>
      <c r="K247">
        <f t="shared" si="54"/>
        <v>1</v>
      </c>
      <c r="L247">
        <f t="shared" si="55"/>
        <v>1</v>
      </c>
      <c r="M247">
        <f t="shared" si="56"/>
        <v>4</v>
      </c>
      <c r="N247">
        <v>4</v>
      </c>
      <c r="R247">
        <f t="shared" si="57"/>
        <v>1</v>
      </c>
      <c r="S247">
        <f t="shared" si="58"/>
        <v>1</v>
      </c>
      <c r="T247">
        <f t="shared" si="59"/>
        <v>1</v>
      </c>
      <c r="U247">
        <f t="shared" si="60"/>
        <v>1</v>
      </c>
      <c r="V247">
        <f t="shared" si="61"/>
        <v>3</v>
      </c>
      <c r="W247">
        <v>3</v>
      </c>
      <c r="AA247">
        <f t="shared" si="62"/>
        <v>1</v>
      </c>
      <c r="AB247">
        <f t="shared" si="63"/>
        <v>1</v>
      </c>
      <c r="AC247">
        <f t="shared" si="64"/>
        <v>1</v>
      </c>
      <c r="AD247">
        <f t="shared" si="65"/>
        <v>1</v>
      </c>
    </row>
    <row r="248" spans="1:30" x14ac:dyDescent="0.2">
      <c r="A248" s="23" t="s">
        <v>42</v>
      </c>
      <c r="B248" t="s">
        <v>41</v>
      </c>
      <c r="C248">
        <f t="shared" si="50"/>
        <v>20</v>
      </c>
      <c r="D248">
        <f t="shared" si="51"/>
        <v>9</v>
      </c>
      <c r="E248">
        <v>9</v>
      </c>
      <c r="I248">
        <f t="shared" si="52"/>
        <v>1</v>
      </c>
      <c r="J248">
        <f t="shared" si="53"/>
        <v>1</v>
      </c>
      <c r="K248">
        <f t="shared" si="54"/>
        <v>1</v>
      </c>
      <c r="L248">
        <f t="shared" si="55"/>
        <v>1</v>
      </c>
      <c r="M248">
        <f t="shared" si="56"/>
        <v>6</v>
      </c>
      <c r="N248">
        <v>6</v>
      </c>
      <c r="R248">
        <f t="shared" si="57"/>
        <v>1</v>
      </c>
      <c r="S248">
        <f t="shared" si="58"/>
        <v>1</v>
      </c>
      <c r="T248">
        <f t="shared" si="59"/>
        <v>1</v>
      </c>
      <c r="U248">
        <f t="shared" si="60"/>
        <v>1</v>
      </c>
      <c r="V248">
        <f t="shared" si="61"/>
        <v>5</v>
      </c>
      <c r="W248">
        <v>5</v>
      </c>
      <c r="AA248">
        <f t="shared" si="62"/>
        <v>1</v>
      </c>
      <c r="AB248">
        <f t="shared" si="63"/>
        <v>1</v>
      </c>
      <c r="AC248">
        <f t="shared" si="64"/>
        <v>1</v>
      </c>
      <c r="AD248">
        <f t="shared" si="65"/>
        <v>1</v>
      </c>
    </row>
    <row r="249" spans="1:30" x14ac:dyDescent="0.2">
      <c r="A249" s="23"/>
      <c r="B249" t="s">
        <v>40</v>
      </c>
      <c r="C249">
        <f t="shared" si="50"/>
        <v>20</v>
      </c>
      <c r="D249">
        <f t="shared" si="51"/>
        <v>8</v>
      </c>
      <c r="E249">
        <v>7</v>
      </c>
      <c r="G249">
        <v>1</v>
      </c>
      <c r="I249">
        <f t="shared" si="52"/>
        <v>0.875</v>
      </c>
      <c r="J249">
        <f t="shared" si="53"/>
        <v>0.875</v>
      </c>
      <c r="K249">
        <f t="shared" si="54"/>
        <v>1</v>
      </c>
      <c r="L249">
        <f t="shared" si="55"/>
        <v>0.93333333333333335</v>
      </c>
      <c r="M249">
        <f t="shared" si="56"/>
        <v>6</v>
      </c>
      <c r="N249">
        <v>6</v>
      </c>
      <c r="R249">
        <f t="shared" si="57"/>
        <v>1</v>
      </c>
      <c r="S249">
        <f t="shared" si="58"/>
        <v>1</v>
      </c>
      <c r="T249">
        <f t="shared" si="59"/>
        <v>1</v>
      </c>
      <c r="U249">
        <f t="shared" si="60"/>
        <v>1</v>
      </c>
      <c r="V249">
        <f t="shared" si="61"/>
        <v>6</v>
      </c>
      <c r="W249">
        <v>6</v>
      </c>
      <c r="AA249">
        <f t="shared" si="62"/>
        <v>1</v>
      </c>
      <c r="AB249">
        <f t="shared" si="63"/>
        <v>1</v>
      </c>
      <c r="AC249">
        <f t="shared" si="64"/>
        <v>1</v>
      </c>
      <c r="AD249">
        <f t="shared" si="65"/>
        <v>1</v>
      </c>
    </row>
    <row r="250" spans="1:30" x14ac:dyDescent="0.2">
      <c r="A250" s="23"/>
      <c r="B250" t="s">
        <v>39</v>
      </c>
      <c r="C250">
        <f t="shared" si="50"/>
        <v>20</v>
      </c>
      <c r="D250">
        <f t="shared" si="51"/>
        <v>6</v>
      </c>
      <c r="E250">
        <v>6</v>
      </c>
      <c r="I250">
        <f t="shared" si="52"/>
        <v>1</v>
      </c>
      <c r="J250">
        <f t="shared" si="53"/>
        <v>1</v>
      </c>
      <c r="K250">
        <f t="shared" si="54"/>
        <v>1</v>
      </c>
      <c r="L250">
        <f t="shared" si="55"/>
        <v>1</v>
      </c>
      <c r="M250">
        <f t="shared" si="56"/>
        <v>6</v>
      </c>
      <c r="N250">
        <v>6</v>
      </c>
      <c r="R250">
        <f t="shared" si="57"/>
        <v>1</v>
      </c>
      <c r="S250">
        <f t="shared" si="58"/>
        <v>1</v>
      </c>
      <c r="T250">
        <f t="shared" si="59"/>
        <v>1</v>
      </c>
      <c r="U250">
        <f t="shared" si="60"/>
        <v>1</v>
      </c>
      <c r="V250">
        <f t="shared" si="61"/>
        <v>8</v>
      </c>
      <c r="W250">
        <v>8</v>
      </c>
      <c r="AA250">
        <f t="shared" si="62"/>
        <v>1</v>
      </c>
      <c r="AB250">
        <f t="shared" si="63"/>
        <v>1</v>
      </c>
      <c r="AC250">
        <f t="shared" si="64"/>
        <v>1</v>
      </c>
      <c r="AD250">
        <f t="shared" si="65"/>
        <v>1</v>
      </c>
    </row>
    <row r="251" spans="1:30" x14ac:dyDescent="0.2">
      <c r="A251" s="23"/>
      <c r="B251" t="s">
        <v>38</v>
      </c>
      <c r="C251">
        <f t="shared" si="50"/>
        <v>20</v>
      </c>
      <c r="D251">
        <f t="shared" si="51"/>
        <v>6</v>
      </c>
      <c r="E251">
        <v>6</v>
      </c>
      <c r="I251">
        <f t="shared" si="52"/>
        <v>1</v>
      </c>
      <c r="J251">
        <f t="shared" si="53"/>
        <v>1</v>
      </c>
      <c r="K251">
        <f t="shared" si="54"/>
        <v>1</v>
      </c>
      <c r="L251">
        <f t="shared" si="55"/>
        <v>1</v>
      </c>
      <c r="M251">
        <f t="shared" si="56"/>
        <v>5</v>
      </c>
      <c r="N251">
        <v>4</v>
      </c>
      <c r="P251">
        <v>1</v>
      </c>
      <c r="R251">
        <f t="shared" si="57"/>
        <v>0.8</v>
      </c>
      <c r="S251">
        <f t="shared" si="58"/>
        <v>0.8</v>
      </c>
      <c r="T251">
        <f t="shared" si="59"/>
        <v>1</v>
      </c>
      <c r="U251">
        <f t="shared" si="60"/>
        <v>0.88888888888888895</v>
      </c>
      <c r="V251">
        <f t="shared" si="61"/>
        <v>9</v>
      </c>
      <c r="W251">
        <v>8</v>
      </c>
      <c r="Y251">
        <v>1</v>
      </c>
      <c r="AA251">
        <f t="shared" si="62"/>
        <v>0.88888888888888884</v>
      </c>
      <c r="AB251">
        <f t="shared" si="63"/>
        <v>0.88888888888888884</v>
      </c>
      <c r="AC251">
        <f t="shared" si="64"/>
        <v>1</v>
      </c>
      <c r="AD251">
        <f t="shared" si="65"/>
        <v>0.94117647058823528</v>
      </c>
    </row>
    <row r="252" spans="1:30" x14ac:dyDescent="0.2">
      <c r="A252" s="23"/>
      <c r="B252" t="s">
        <v>37</v>
      </c>
      <c r="C252">
        <f t="shared" si="50"/>
        <v>20</v>
      </c>
      <c r="D252">
        <f t="shared" si="51"/>
        <v>7</v>
      </c>
      <c r="E252">
        <v>7</v>
      </c>
      <c r="I252">
        <f t="shared" si="52"/>
        <v>1</v>
      </c>
      <c r="J252">
        <f t="shared" si="53"/>
        <v>1</v>
      </c>
      <c r="K252">
        <f t="shared" si="54"/>
        <v>1</v>
      </c>
      <c r="L252">
        <f t="shared" si="55"/>
        <v>1</v>
      </c>
      <c r="M252">
        <f t="shared" si="56"/>
        <v>8</v>
      </c>
      <c r="N252">
        <v>8</v>
      </c>
      <c r="R252">
        <f t="shared" si="57"/>
        <v>1</v>
      </c>
      <c r="S252">
        <f t="shared" si="58"/>
        <v>1</v>
      </c>
      <c r="T252">
        <f t="shared" si="59"/>
        <v>1</v>
      </c>
      <c r="U252">
        <f t="shared" si="60"/>
        <v>1</v>
      </c>
      <c r="V252">
        <f t="shared" si="61"/>
        <v>5</v>
      </c>
      <c r="W252">
        <v>5</v>
      </c>
      <c r="AA252">
        <f t="shared" si="62"/>
        <v>1</v>
      </c>
      <c r="AB252">
        <f t="shared" si="63"/>
        <v>1</v>
      </c>
      <c r="AC252">
        <f t="shared" si="64"/>
        <v>1</v>
      </c>
      <c r="AD252">
        <f t="shared" si="65"/>
        <v>1</v>
      </c>
    </row>
    <row r="253" spans="1:30" x14ac:dyDescent="0.2">
      <c r="A253" s="23"/>
      <c r="B253" t="s">
        <v>36</v>
      </c>
      <c r="C253">
        <f t="shared" si="50"/>
        <v>20</v>
      </c>
      <c r="D253">
        <f t="shared" si="51"/>
        <v>6</v>
      </c>
      <c r="E253">
        <v>6</v>
      </c>
      <c r="I253">
        <f t="shared" si="52"/>
        <v>1</v>
      </c>
      <c r="J253">
        <f t="shared" si="53"/>
        <v>1</v>
      </c>
      <c r="K253">
        <f t="shared" si="54"/>
        <v>1</v>
      </c>
      <c r="L253">
        <f t="shared" si="55"/>
        <v>1</v>
      </c>
      <c r="M253">
        <f t="shared" si="56"/>
        <v>4</v>
      </c>
      <c r="N253">
        <v>4</v>
      </c>
      <c r="R253">
        <f t="shared" si="57"/>
        <v>1</v>
      </c>
      <c r="S253">
        <f t="shared" si="58"/>
        <v>1</v>
      </c>
      <c r="T253">
        <f t="shared" si="59"/>
        <v>1</v>
      </c>
      <c r="U253">
        <f t="shared" si="60"/>
        <v>1</v>
      </c>
      <c r="V253">
        <f t="shared" si="61"/>
        <v>10</v>
      </c>
      <c r="W253">
        <v>10</v>
      </c>
      <c r="AA253">
        <f t="shared" si="62"/>
        <v>1</v>
      </c>
      <c r="AB253">
        <f t="shared" si="63"/>
        <v>1</v>
      </c>
      <c r="AC253">
        <f t="shared" si="64"/>
        <v>1</v>
      </c>
      <c r="AD253">
        <f t="shared" si="65"/>
        <v>1</v>
      </c>
    </row>
    <row r="254" spans="1:30" x14ac:dyDescent="0.2">
      <c r="A254" s="23"/>
      <c r="B254" t="s">
        <v>35</v>
      </c>
      <c r="C254">
        <f t="shared" si="50"/>
        <v>20</v>
      </c>
      <c r="D254">
        <f t="shared" si="51"/>
        <v>7</v>
      </c>
      <c r="E254">
        <v>7</v>
      </c>
      <c r="I254">
        <f t="shared" si="52"/>
        <v>1</v>
      </c>
      <c r="J254">
        <f t="shared" si="53"/>
        <v>1</v>
      </c>
      <c r="K254">
        <f t="shared" si="54"/>
        <v>1</v>
      </c>
      <c r="L254">
        <f t="shared" si="55"/>
        <v>1</v>
      </c>
      <c r="M254">
        <f t="shared" si="56"/>
        <v>6</v>
      </c>
      <c r="N254">
        <v>6</v>
      </c>
      <c r="R254">
        <f t="shared" si="57"/>
        <v>1</v>
      </c>
      <c r="S254">
        <f t="shared" si="58"/>
        <v>1</v>
      </c>
      <c r="T254">
        <f t="shared" si="59"/>
        <v>1</v>
      </c>
      <c r="U254">
        <f t="shared" si="60"/>
        <v>1</v>
      </c>
      <c r="V254">
        <f t="shared" si="61"/>
        <v>7</v>
      </c>
      <c r="W254">
        <v>7</v>
      </c>
      <c r="AA254">
        <f t="shared" si="62"/>
        <v>1</v>
      </c>
      <c r="AB254">
        <f t="shared" si="63"/>
        <v>1</v>
      </c>
      <c r="AC254">
        <f t="shared" si="64"/>
        <v>1</v>
      </c>
      <c r="AD254">
        <f t="shared" si="65"/>
        <v>1</v>
      </c>
    </row>
    <row r="255" spans="1:30" x14ac:dyDescent="0.2">
      <c r="A255" s="23"/>
      <c r="B255" t="s">
        <v>34</v>
      </c>
      <c r="C255">
        <f t="shared" si="50"/>
        <v>20</v>
      </c>
      <c r="D255">
        <f t="shared" si="51"/>
        <v>8</v>
      </c>
      <c r="E255">
        <v>8</v>
      </c>
      <c r="I255">
        <f t="shared" si="52"/>
        <v>1</v>
      </c>
      <c r="J255">
        <f t="shared" si="53"/>
        <v>1</v>
      </c>
      <c r="K255">
        <f t="shared" si="54"/>
        <v>1</v>
      </c>
      <c r="L255">
        <f t="shared" si="55"/>
        <v>1</v>
      </c>
      <c r="M255">
        <f t="shared" si="56"/>
        <v>6</v>
      </c>
      <c r="N255">
        <v>6</v>
      </c>
      <c r="R255">
        <f t="shared" si="57"/>
        <v>1</v>
      </c>
      <c r="S255">
        <f t="shared" si="58"/>
        <v>1</v>
      </c>
      <c r="T255">
        <f t="shared" si="59"/>
        <v>1</v>
      </c>
      <c r="U255">
        <f t="shared" si="60"/>
        <v>1</v>
      </c>
      <c r="V255">
        <f t="shared" si="61"/>
        <v>6</v>
      </c>
      <c r="W255">
        <v>6</v>
      </c>
      <c r="AA255">
        <f t="shared" si="62"/>
        <v>1</v>
      </c>
      <c r="AB255">
        <f t="shared" si="63"/>
        <v>1</v>
      </c>
      <c r="AC255">
        <f t="shared" si="64"/>
        <v>1</v>
      </c>
      <c r="AD255">
        <f t="shared" si="65"/>
        <v>1</v>
      </c>
    </row>
    <row r="256" spans="1:30" x14ac:dyDescent="0.2">
      <c r="A256" s="23"/>
      <c r="B256" t="s">
        <v>33</v>
      </c>
      <c r="C256">
        <f t="shared" si="50"/>
        <v>20</v>
      </c>
      <c r="D256">
        <f t="shared" si="51"/>
        <v>8</v>
      </c>
      <c r="E256">
        <v>8</v>
      </c>
      <c r="I256">
        <f t="shared" si="52"/>
        <v>1</v>
      </c>
      <c r="J256">
        <f t="shared" si="53"/>
        <v>1</v>
      </c>
      <c r="K256">
        <f t="shared" si="54"/>
        <v>1</v>
      </c>
      <c r="L256">
        <f t="shared" si="55"/>
        <v>1</v>
      </c>
      <c r="M256">
        <f>SUM(N256:Q256)</f>
        <v>6</v>
      </c>
      <c r="N256">
        <v>5</v>
      </c>
      <c r="Q256">
        <v>1</v>
      </c>
      <c r="R256">
        <f t="shared" si="57"/>
        <v>0.83333333333333337</v>
      </c>
      <c r="S256">
        <f t="shared" si="58"/>
        <v>1</v>
      </c>
      <c r="T256">
        <f t="shared" si="59"/>
        <v>0.83333333333333337</v>
      </c>
      <c r="U256">
        <f t="shared" si="60"/>
        <v>0.90909090909090906</v>
      </c>
      <c r="V256">
        <f t="shared" si="61"/>
        <v>6</v>
      </c>
      <c r="W256">
        <v>6</v>
      </c>
      <c r="AA256">
        <f t="shared" si="62"/>
        <v>1</v>
      </c>
      <c r="AB256">
        <f t="shared" si="63"/>
        <v>1</v>
      </c>
      <c r="AC256">
        <f t="shared" si="64"/>
        <v>1</v>
      </c>
      <c r="AD256">
        <f t="shared" si="65"/>
        <v>1</v>
      </c>
    </row>
    <row r="257" spans="1:30" x14ac:dyDescent="0.2">
      <c r="A257" s="23"/>
      <c r="B257" t="s">
        <v>32</v>
      </c>
      <c r="C257">
        <f t="shared" si="50"/>
        <v>20</v>
      </c>
      <c r="D257">
        <f t="shared" si="51"/>
        <v>8</v>
      </c>
      <c r="E257">
        <v>8</v>
      </c>
      <c r="I257">
        <f t="shared" si="52"/>
        <v>1</v>
      </c>
      <c r="J257">
        <f t="shared" si="53"/>
        <v>1</v>
      </c>
      <c r="K257">
        <f t="shared" si="54"/>
        <v>1</v>
      </c>
      <c r="L257">
        <f t="shared" si="55"/>
        <v>1</v>
      </c>
      <c r="M257">
        <f t="shared" si="56"/>
        <v>4</v>
      </c>
      <c r="N257">
        <v>4</v>
      </c>
      <c r="R257">
        <f t="shared" si="57"/>
        <v>1</v>
      </c>
      <c r="S257">
        <f t="shared" si="58"/>
        <v>1</v>
      </c>
      <c r="T257">
        <f t="shared" si="59"/>
        <v>1</v>
      </c>
      <c r="U257">
        <f t="shared" si="60"/>
        <v>1</v>
      </c>
      <c r="V257">
        <f t="shared" si="61"/>
        <v>8</v>
      </c>
      <c r="W257">
        <v>8</v>
      </c>
      <c r="AA257">
        <f t="shared" si="62"/>
        <v>1</v>
      </c>
      <c r="AB257">
        <f t="shared" si="63"/>
        <v>1</v>
      </c>
      <c r="AC257">
        <f t="shared" si="64"/>
        <v>1</v>
      </c>
      <c r="AD257">
        <f t="shared" si="65"/>
        <v>1</v>
      </c>
    </row>
    <row r="258" spans="1:30" x14ac:dyDescent="0.2">
      <c r="A258" s="23"/>
      <c r="B258" t="s">
        <v>31</v>
      </c>
      <c r="C258">
        <f t="shared" si="50"/>
        <v>20</v>
      </c>
      <c r="D258">
        <f t="shared" si="51"/>
        <v>9</v>
      </c>
      <c r="E258">
        <v>9</v>
      </c>
      <c r="I258">
        <f t="shared" si="52"/>
        <v>1</v>
      </c>
      <c r="J258">
        <f t="shared" si="53"/>
        <v>1</v>
      </c>
      <c r="K258">
        <f t="shared" si="54"/>
        <v>1</v>
      </c>
      <c r="L258">
        <f t="shared" si="55"/>
        <v>1</v>
      </c>
      <c r="M258">
        <f t="shared" si="56"/>
        <v>7</v>
      </c>
      <c r="N258">
        <v>7</v>
      </c>
      <c r="R258">
        <f t="shared" si="57"/>
        <v>1</v>
      </c>
      <c r="S258">
        <f t="shared" si="58"/>
        <v>1</v>
      </c>
      <c r="T258">
        <f t="shared" si="59"/>
        <v>1</v>
      </c>
      <c r="U258">
        <f t="shared" si="60"/>
        <v>1</v>
      </c>
      <c r="V258">
        <f t="shared" si="61"/>
        <v>4</v>
      </c>
      <c r="W258">
        <v>4</v>
      </c>
      <c r="AA258">
        <f t="shared" si="62"/>
        <v>1</v>
      </c>
      <c r="AB258">
        <f t="shared" si="63"/>
        <v>1</v>
      </c>
      <c r="AC258">
        <f t="shared" si="64"/>
        <v>1</v>
      </c>
      <c r="AD258">
        <f t="shared" si="65"/>
        <v>1</v>
      </c>
    </row>
    <row r="259" spans="1:30" x14ac:dyDescent="0.2">
      <c r="A259" s="23"/>
      <c r="B259" t="s">
        <v>30</v>
      </c>
      <c r="C259">
        <f t="shared" si="50"/>
        <v>20</v>
      </c>
      <c r="D259">
        <f t="shared" si="51"/>
        <v>8</v>
      </c>
      <c r="E259">
        <v>8</v>
      </c>
      <c r="I259">
        <f t="shared" si="52"/>
        <v>1</v>
      </c>
      <c r="J259">
        <f t="shared" si="53"/>
        <v>1</v>
      </c>
      <c r="K259">
        <f t="shared" si="54"/>
        <v>1</v>
      </c>
      <c r="L259">
        <f t="shared" si="55"/>
        <v>1</v>
      </c>
      <c r="M259">
        <f t="shared" si="56"/>
        <v>6</v>
      </c>
      <c r="N259">
        <v>6</v>
      </c>
      <c r="R259">
        <f t="shared" si="57"/>
        <v>1</v>
      </c>
      <c r="S259">
        <f t="shared" si="58"/>
        <v>1</v>
      </c>
      <c r="T259">
        <f t="shared" si="59"/>
        <v>1</v>
      </c>
      <c r="U259">
        <f t="shared" si="60"/>
        <v>1</v>
      </c>
      <c r="V259">
        <f t="shared" si="61"/>
        <v>6</v>
      </c>
      <c r="W259">
        <v>5</v>
      </c>
      <c r="Y259">
        <v>1</v>
      </c>
      <c r="AA259">
        <f t="shared" si="62"/>
        <v>0.83333333333333337</v>
      </c>
      <c r="AB259">
        <f t="shared" si="63"/>
        <v>0.83333333333333337</v>
      </c>
      <c r="AC259">
        <f t="shared" si="64"/>
        <v>1</v>
      </c>
      <c r="AD259">
        <f t="shared" si="65"/>
        <v>0.90909090909090906</v>
      </c>
    </row>
    <row r="260" spans="1:30" x14ac:dyDescent="0.2">
      <c r="A260" s="23"/>
      <c r="B260" t="s">
        <v>29</v>
      </c>
      <c r="C260">
        <f t="shared" ref="C260:C272" si="66">D260+M260+V260</f>
        <v>20</v>
      </c>
      <c r="D260">
        <f t="shared" ref="D260:D272" si="67">SUM(E260:H260)</f>
        <v>9</v>
      </c>
      <c r="E260">
        <v>9</v>
      </c>
      <c r="I260">
        <f t="shared" ref="I260:I272" si="68">(E260+F260)/(E260+F260+G260+H260)</f>
        <v>1</v>
      </c>
      <c r="J260">
        <f t="shared" ref="J260:J272" si="69">E260/(E260+G260)</f>
        <v>1</v>
      </c>
      <c r="K260">
        <f t="shared" ref="K260:K271" si="70">E260/(E260+H260)</f>
        <v>1</v>
      </c>
      <c r="L260">
        <f t="shared" ref="L260:L272" si="71">(2*J260*K260)/(J260+K260)</f>
        <v>1</v>
      </c>
      <c r="M260">
        <f t="shared" ref="M260:M272" si="72">SUM(N260:Q260)</f>
        <v>5</v>
      </c>
      <c r="N260">
        <v>5</v>
      </c>
      <c r="R260">
        <f t="shared" ref="R260:R273" si="73">(N260+O260)/(N260+O260+P260+Q260)</f>
        <v>1</v>
      </c>
      <c r="S260">
        <f t="shared" ref="S260:S273" si="74">N260/(N260+P260)</f>
        <v>1</v>
      </c>
      <c r="T260">
        <f t="shared" ref="T260:T272" si="75">N260/(N260+Q260)</f>
        <v>1</v>
      </c>
      <c r="U260">
        <f t="shared" ref="U260:U272" si="76">(2*S260*T260)/(S260+T260)</f>
        <v>1</v>
      </c>
      <c r="V260">
        <f t="shared" ref="V260:V272" si="77">SUM(W260:Z260)</f>
        <v>6</v>
      </c>
      <c r="W260">
        <v>6</v>
      </c>
      <c r="AA260">
        <f t="shared" ref="AA260:AA273" si="78">(W260+X260)/(W260+X260+Y260+Z260)</f>
        <v>1</v>
      </c>
      <c r="AB260">
        <f t="shared" ref="AB260:AB273" si="79">W260/(W260+Y260)</f>
        <v>1</v>
      </c>
      <c r="AC260">
        <f t="shared" ref="AC260:AC272" si="80">W260/(W260+Z260)</f>
        <v>1</v>
      </c>
      <c r="AD260">
        <f t="shared" ref="AD260:AD272" si="81">(2*AB260*AC260)/(AB260+AC260)</f>
        <v>1</v>
      </c>
    </row>
    <row r="261" spans="1:30" x14ac:dyDescent="0.2">
      <c r="A261" s="23"/>
      <c r="B261" t="s">
        <v>28</v>
      </c>
      <c r="C261">
        <f t="shared" si="66"/>
        <v>20</v>
      </c>
      <c r="D261">
        <f t="shared" si="67"/>
        <v>9</v>
      </c>
      <c r="E261">
        <v>9</v>
      </c>
      <c r="I261">
        <f t="shared" si="68"/>
        <v>1</v>
      </c>
      <c r="J261">
        <f t="shared" si="69"/>
        <v>1</v>
      </c>
      <c r="K261">
        <f t="shared" si="70"/>
        <v>1</v>
      </c>
      <c r="L261">
        <f t="shared" si="71"/>
        <v>1</v>
      </c>
      <c r="M261">
        <f t="shared" si="72"/>
        <v>6</v>
      </c>
      <c r="N261">
        <v>6</v>
      </c>
      <c r="R261">
        <f t="shared" si="73"/>
        <v>1</v>
      </c>
      <c r="S261">
        <f t="shared" si="74"/>
        <v>1</v>
      </c>
      <c r="T261">
        <f t="shared" si="75"/>
        <v>1</v>
      </c>
      <c r="U261">
        <f t="shared" si="76"/>
        <v>1</v>
      </c>
      <c r="V261">
        <f t="shared" si="77"/>
        <v>5</v>
      </c>
      <c r="W261">
        <v>5</v>
      </c>
      <c r="AA261">
        <f t="shared" si="78"/>
        <v>1</v>
      </c>
      <c r="AB261">
        <f t="shared" si="79"/>
        <v>1</v>
      </c>
      <c r="AC261">
        <f t="shared" si="80"/>
        <v>1</v>
      </c>
      <c r="AD261">
        <f t="shared" si="81"/>
        <v>1</v>
      </c>
    </row>
    <row r="262" spans="1:30" x14ac:dyDescent="0.2">
      <c r="A262" s="23"/>
      <c r="B262" t="s">
        <v>27</v>
      </c>
      <c r="C262">
        <f t="shared" si="66"/>
        <v>20</v>
      </c>
      <c r="D262">
        <f t="shared" si="67"/>
        <v>6</v>
      </c>
      <c r="E262">
        <v>6</v>
      </c>
      <c r="I262">
        <f t="shared" si="68"/>
        <v>1</v>
      </c>
      <c r="J262">
        <f t="shared" si="69"/>
        <v>1</v>
      </c>
      <c r="K262">
        <f t="shared" si="70"/>
        <v>1</v>
      </c>
      <c r="L262">
        <f t="shared" si="71"/>
        <v>1</v>
      </c>
      <c r="M262">
        <f t="shared" si="72"/>
        <v>4</v>
      </c>
      <c r="N262">
        <v>3</v>
      </c>
      <c r="P262">
        <v>1</v>
      </c>
      <c r="R262">
        <f t="shared" si="73"/>
        <v>0.75</v>
      </c>
      <c r="S262">
        <f t="shared" si="74"/>
        <v>0.75</v>
      </c>
      <c r="T262">
        <f t="shared" si="75"/>
        <v>1</v>
      </c>
      <c r="U262">
        <f t="shared" si="76"/>
        <v>0.8571428571428571</v>
      </c>
      <c r="V262">
        <f t="shared" si="77"/>
        <v>10</v>
      </c>
      <c r="W262">
        <v>8</v>
      </c>
      <c r="Y262">
        <v>2</v>
      </c>
      <c r="AA262">
        <f t="shared" si="78"/>
        <v>0.8</v>
      </c>
      <c r="AB262">
        <f t="shared" si="79"/>
        <v>0.8</v>
      </c>
      <c r="AC262">
        <f t="shared" si="80"/>
        <v>1</v>
      </c>
      <c r="AD262">
        <f t="shared" si="81"/>
        <v>0.88888888888888895</v>
      </c>
    </row>
    <row r="263" spans="1:30" x14ac:dyDescent="0.2">
      <c r="A263" s="23"/>
      <c r="B263" t="s">
        <v>26</v>
      </c>
      <c r="C263">
        <f t="shared" si="66"/>
        <v>20</v>
      </c>
      <c r="D263">
        <f t="shared" si="67"/>
        <v>7</v>
      </c>
      <c r="E263">
        <v>7</v>
      </c>
      <c r="I263">
        <f t="shared" si="68"/>
        <v>1</v>
      </c>
      <c r="J263">
        <f t="shared" si="69"/>
        <v>1</v>
      </c>
      <c r="K263">
        <f t="shared" si="70"/>
        <v>1</v>
      </c>
      <c r="L263">
        <f t="shared" si="71"/>
        <v>1</v>
      </c>
      <c r="M263">
        <f t="shared" si="72"/>
        <v>7</v>
      </c>
      <c r="N263">
        <v>7</v>
      </c>
      <c r="R263">
        <f t="shared" si="73"/>
        <v>1</v>
      </c>
      <c r="S263">
        <f t="shared" si="74"/>
        <v>1</v>
      </c>
      <c r="T263">
        <f t="shared" si="75"/>
        <v>1</v>
      </c>
      <c r="U263">
        <f t="shared" si="76"/>
        <v>1</v>
      </c>
      <c r="V263">
        <f t="shared" si="77"/>
        <v>6</v>
      </c>
      <c r="W263">
        <v>6</v>
      </c>
      <c r="AA263">
        <f t="shared" si="78"/>
        <v>1</v>
      </c>
      <c r="AB263">
        <f t="shared" si="79"/>
        <v>1</v>
      </c>
      <c r="AC263">
        <f t="shared" si="80"/>
        <v>1</v>
      </c>
      <c r="AD263">
        <f t="shared" si="81"/>
        <v>1</v>
      </c>
    </row>
    <row r="264" spans="1:30" x14ac:dyDescent="0.2">
      <c r="A264" s="23"/>
      <c r="B264" t="s">
        <v>25</v>
      </c>
      <c r="C264">
        <f t="shared" si="66"/>
        <v>20</v>
      </c>
      <c r="D264">
        <f t="shared" si="67"/>
        <v>8</v>
      </c>
      <c r="E264">
        <v>8</v>
      </c>
      <c r="I264">
        <f t="shared" si="68"/>
        <v>1</v>
      </c>
      <c r="J264">
        <f t="shared" si="69"/>
        <v>1</v>
      </c>
      <c r="K264">
        <f t="shared" si="70"/>
        <v>1</v>
      </c>
      <c r="L264">
        <f t="shared" si="71"/>
        <v>1</v>
      </c>
      <c r="M264">
        <f t="shared" si="72"/>
        <v>6</v>
      </c>
      <c r="N264">
        <v>6</v>
      </c>
      <c r="R264">
        <f t="shared" si="73"/>
        <v>1</v>
      </c>
      <c r="S264">
        <f t="shared" si="74"/>
        <v>1</v>
      </c>
      <c r="T264">
        <f t="shared" si="75"/>
        <v>1</v>
      </c>
      <c r="U264">
        <f t="shared" si="76"/>
        <v>1</v>
      </c>
      <c r="V264">
        <f t="shared" si="77"/>
        <v>6</v>
      </c>
      <c r="W264">
        <v>6</v>
      </c>
      <c r="AA264">
        <f t="shared" si="78"/>
        <v>1</v>
      </c>
      <c r="AB264">
        <f t="shared" si="79"/>
        <v>1</v>
      </c>
      <c r="AC264">
        <f t="shared" si="80"/>
        <v>1</v>
      </c>
      <c r="AD264">
        <f t="shared" si="81"/>
        <v>1</v>
      </c>
    </row>
    <row r="265" spans="1:30" x14ac:dyDescent="0.2">
      <c r="A265" s="23"/>
      <c r="B265" t="s">
        <v>24</v>
      </c>
      <c r="C265">
        <f t="shared" si="66"/>
        <v>20</v>
      </c>
      <c r="D265">
        <f t="shared" si="67"/>
        <v>8</v>
      </c>
      <c r="E265">
        <v>8</v>
      </c>
      <c r="I265">
        <f t="shared" si="68"/>
        <v>1</v>
      </c>
      <c r="J265">
        <f t="shared" si="69"/>
        <v>1</v>
      </c>
      <c r="K265">
        <f t="shared" si="70"/>
        <v>1</v>
      </c>
      <c r="L265">
        <f t="shared" si="71"/>
        <v>1</v>
      </c>
      <c r="M265">
        <f t="shared" si="72"/>
        <v>6</v>
      </c>
      <c r="N265">
        <v>6</v>
      </c>
      <c r="R265">
        <f t="shared" si="73"/>
        <v>1</v>
      </c>
      <c r="S265">
        <f t="shared" si="74"/>
        <v>1</v>
      </c>
      <c r="T265">
        <f t="shared" si="75"/>
        <v>1</v>
      </c>
      <c r="U265">
        <f t="shared" si="76"/>
        <v>1</v>
      </c>
      <c r="V265">
        <f t="shared" si="77"/>
        <v>6</v>
      </c>
      <c r="W265">
        <v>6</v>
      </c>
      <c r="AA265">
        <f t="shared" si="78"/>
        <v>1</v>
      </c>
      <c r="AB265">
        <f t="shared" si="79"/>
        <v>1</v>
      </c>
      <c r="AC265">
        <f t="shared" si="80"/>
        <v>1</v>
      </c>
      <c r="AD265">
        <f t="shared" si="81"/>
        <v>1</v>
      </c>
    </row>
    <row r="266" spans="1:30" x14ac:dyDescent="0.2">
      <c r="A266" s="23"/>
      <c r="B266" t="s">
        <v>23</v>
      </c>
      <c r="C266">
        <f t="shared" si="66"/>
        <v>20</v>
      </c>
      <c r="D266">
        <f t="shared" si="67"/>
        <v>8</v>
      </c>
      <c r="E266">
        <v>8</v>
      </c>
      <c r="I266">
        <f t="shared" si="68"/>
        <v>1</v>
      </c>
      <c r="J266">
        <f t="shared" si="69"/>
        <v>1</v>
      </c>
      <c r="K266">
        <f t="shared" si="70"/>
        <v>1</v>
      </c>
      <c r="L266">
        <f t="shared" si="71"/>
        <v>1</v>
      </c>
      <c r="M266">
        <f t="shared" si="72"/>
        <v>6</v>
      </c>
      <c r="N266">
        <v>6</v>
      </c>
      <c r="R266">
        <f t="shared" si="73"/>
        <v>1</v>
      </c>
      <c r="S266">
        <f t="shared" si="74"/>
        <v>1</v>
      </c>
      <c r="T266">
        <f t="shared" si="75"/>
        <v>1</v>
      </c>
      <c r="U266">
        <f t="shared" si="76"/>
        <v>1</v>
      </c>
      <c r="V266">
        <f t="shared" si="77"/>
        <v>6</v>
      </c>
      <c r="W266">
        <v>6</v>
      </c>
      <c r="AA266">
        <f t="shared" si="78"/>
        <v>1</v>
      </c>
      <c r="AB266">
        <f t="shared" si="79"/>
        <v>1</v>
      </c>
      <c r="AC266">
        <f t="shared" si="80"/>
        <v>1</v>
      </c>
      <c r="AD266">
        <f t="shared" si="81"/>
        <v>1</v>
      </c>
    </row>
    <row r="267" spans="1:30" x14ac:dyDescent="0.2">
      <c r="A267" s="23"/>
      <c r="B267" t="s">
        <v>22</v>
      </c>
      <c r="C267">
        <f t="shared" si="66"/>
        <v>20</v>
      </c>
      <c r="D267">
        <f t="shared" si="67"/>
        <v>8</v>
      </c>
      <c r="E267">
        <v>8</v>
      </c>
      <c r="I267">
        <f t="shared" si="68"/>
        <v>1</v>
      </c>
      <c r="J267">
        <f t="shared" si="69"/>
        <v>1</v>
      </c>
      <c r="K267">
        <f t="shared" si="70"/>
        <v>1</v>
      </c>
      <c r="L267">
        <f t="shared" si="71"/>
        <v>1</v>
      </c>
      <c r="M267">
        <f t="shared" si="72"/>
        <v>4</v>
      </c>
      <c r="N267">
        <v>4</v>
      </c>
      <c r="R267">
        <f t="shared" si="73"/>
        <v>1</v>
      </c>
      <c r="S267">
        <f t="shared" si="74"/>
        <v>1</v>
      </c>
      <c r="T267">
        <f t="shared" si="75"/>
        <v>1</v>
      </c>
      <c r="U267">
        <f t="shared" si="76"/>
        <v>1</v>
      </c>
      <c r="V267">
        <f t="shared" si="77"/>
        <v>8</v>
      </c>
      <c r="W267">
        <v>8</v>
      </c>
      <c r="AA267">
        <f t="shared" si="78"/>
        <v>1</v>
      </c>
      <c r="AB267">
        <f t="shared" si="79"/>
        <v>1</v>
      </c>
      <c r="AC267">
        <f t="shared" si="80"/>
        <v>1</v>
      </c>
      <c r="AD267">
        <f t="shared" si="81"/>
        <v>1</v>
      </c>
    </row>
    <row r="268" spans="1:30" x14ac:dyDescent="0.2">
      <c r="A268" s="23"/>
      <c r="B268" t="s">
        <v>21</v>
      </c>
      <c r="C268">
        <f t="shared" si="66"/>
        <v>20</v>
      </c>
      <c r="D268">
        <f t="shared" si="67"/>
        <v>8</v>
      </c>
      <c r="E268">
        <v>8</v>
      </c>
      <c r="I268">
        <f t="shared" si="68"/>
        <v>1</v>
      </c>
      <c r="J268">
        <f t="shared" si="69"/>
        <v>1</v>
      </c>
      <c r="K268">
        <f t="shared" si="70"/>
        <v>1</v>
      </c>
      <c r="L268">
        <f t="shared" si="71"/>
        <v>1</v>
      </c>
      <c r="M268">
        <f t="shared" si="72"/>
        <v>6</v>
      </c>
      <c r="N268">
        <v>6</v>
      </c>
      <c r="R268">
        <f t="shared" si="73"/>
        <v>1</v>
      </c>
      <c r="S268">
        <f t="shared" si="74"/>
        <v>1</v>
      </c>
      <c r="T268">
        <f t="shared" si="75"/>
        <v>1</v>
      </c>
      <c r="U268">
        <f t="shared" si="76"/>
        <v>1</v>
      </c>
      <c r="V268">
        <f t="shared" si="77"/>
        <v>6</v>
      </c>
      <c r="W268">
        <v>5</v>
      </c>
      <c r="Y268">
        <v>1</v>
      </c>
      <c r="AA268">
        <f t="shared" si="78"/>
        <v>0.83333333333333337</v>
      </c>
      <c r="AB268">
        <f t="shared" si="79"/>
        <v>0.83333333333333337</v>
      </c>
      <c r="AC268">
        <f t="shared" si="80"/>
        <v>1</v>
      </c>
      <c r="AD268">
        <f t="shared" si="81"/>
        <v>0.90909090909090906</v>
      </c>
    </row>
    <row r="269" spans="1:30" x14ac:dyDescent="0.2">
      <c r="A269" s="23"/>
      <c r="B269" t="s">
        <v>20</v>
      </c>
      <c r="C269">
        <f t="shared" si="66"/>
        <v>20</v>
      </c>
      <c r="D269">
        <f t="shared" si="67"/>
        <v>8</v>
      </c>
      <c r="E269">
        <v>6</v>
      </c>
      <c r="G269">
        <v>1</v>
      </c>
      <c r="H269">
        <v>1</v>
      </c>
      <c r="I269">
        <f t="shared" si="68"/>
        <v>0.75</v>
      </c>
      <c r="J269">
        <f t="shared" si="69"/>
        <v>0.8571428571428571</v>
      </c>
      <c r="K269">
        <f t="shared" si="70"/>
        <v>0.8571428571428571</v>
      </c>
      <c r="L269">
        <f t="shared" si="71"/>
        <v>0.8571428571428571</v>
      </c>
      <c r="M269">
        <f t="shared" si="72"/>
        <v>6</v>
      </c>
      <c r="N269">
        <v>6</v>
      </c>
      <c r="R269">
        <f t="shared" si="73"/>
        <v>1</v>
      </c>
      <c r="S269">
        <f t="shared" si="74"/>
        <v>1</v>
      </c>
      <c r="T269">
        <f t="shared" si="75"/>
        <v>1</v>
      </c>
      <c r="U269">
        <f t="shared" si="76"/>
        <v>1</v>
      </c>
      <c r="V269">
        <f t="shared" si="77"/>
        <v>6</v>
      </c>
      <c r="W269">
        <v>6</v>
      </c>
      <c r="AA269">
        <f t="shared" si="78"/>
        <v>1</v>
      </c>
      <c r="AB269">
        <f t="shared" si="79"/>
        <v>1</v>
      </c>
      <c r="AC269">
        <f t="shared" si="80"/>
        <v>1</v>
      </c>
      <c r="AD269">
        <f t="shared" si="81"/>
        <v>1</v>
      </c>
    </row>
    <row r="270" spans="1:30" x14ac:dyDescent="0.2">
      <c r="A270" s="23" t="s">
        <v>19</v>
      </c>
      <c r="B270" t="s">
        <v>18</v>
      </c>
      <c r="C270">
        <f t="shared" si="66"/>
        <v>20</v>
      </c>
      <c r="D270">
        <f t="shared" si="67"/>
        <v>9</v>
      </c>
      <c r="E270">
        <v>8</v>
      </c>
      <c r="H270">
        <v>1</v>
      </c>
      <c r="I270">
        <f t="shared" si="68"/>
        <v>0.88888888888888884</v>
      </c>
      <c r="J270">
        <f t="shared" si="69"/>
        <v>1</v>
      </c>
      <c r="K270">
        <f t="shared" si="70"/>
        <v>0.88888888888888884</v>
      </c>
      <c r="L270">
        <f t="shared" si="71"/>
        <v>0.94117647058823528</v>
      </c>
      <c r="M270">
        <f t="shared" si="72"/>
        <v>6</v>
      </c>
      <c r="N270">
        <v>5</v>
      </c>
      <c r="P270">
        <v>1</v>
      </c>
      <c r="R270">
        <f t="shared" si="73"/>
        <v>0.83333333333333337</v>
      </c>
      <c r="S270">
        <f t="shared" si="74"/>
        <v>0.83333333333333337</v>
      </c>
      <c r="T270">
        <f t="shared" si="75"/>
        <v>1</v>
      </c>
      <c r="U270">
        <f t="shared" si="76"/>
        <v>0.90909090909090906</v>
      </c>
      <c r="V270">
        <f t="shared" si="77"/>
        <v>5</v>
      </c>
      <c r="W270">
        <v>5</v>
      </c>
      <c r="AA270">
        <f t="shared" si="78"/>
        <v>1</v>
      </c>
      <c r="AB270">
        <f t="shared" si="79"/>
        <v>1</v>
      </c>
      <c r="AC270">
        <f t="shared" si="80"/>
        <v>1</v>
      </c>
      <c r="AD270">
        <f t="shared" si="81"/>
        <v>1</v>
      </c>
    </row>
    <row r="271" spans="1:30" x14ac:dyDescent="0.2">
      <c r="A271" s="23"/>
      <c r="B271" t="s">
        <v>17</v>
      </c>
      <c r="C271">
        <f t="shared" si="66"/>
        <v>20</v>
      </c>
      <c r="D271">
        <f t="shared" si="67"/>
        <v>9</v>
      </c>
      <c r="E271">
        <v>9</v>
      </c>
      <c r="I271">
        <f t="shared" si="68"/>
        <v>1</v>
      </c>
      <c r="J271">
        <f t="shared" si="69"/>
        <v>1</v>
      </c>
      <c r="K271">
        <f t="shared" si="70"/>
        <v>1</v>
      </c>
      <c r="L271">
        <f t="shared" si="71"/>
        <v>1</v>
      </c>
      <c r="M271">
        <f t="shared" si="72"/>
        <v>6</v>
      </c>
      <c r="N271">
        <v>6</v>
      </c>
      <c r="R271">
        <f t="shared" si="73"/>
        <v>1</v>
      </c>
      <c r="S271">
        <f t="shared" si="74"/>
        <v>1</v>
      </c>
      <c r="T271">
        <f t="shared" si="75"/>
        <v>1</v>
      </c>
      <c r="U271">
        <f t="shared" si="76"/>
        <v>1</v>
      </c>
      <c r="V271">
        <f>SUM(W271:Z271)</f>
        <v>5</v>
      </c>
      <c r="W271">
        <v>4</v>
      </c>
      <c r="Z271">
        <v>1</v>
      </c>
      <c r="AA271">
        <f t="shared" si="78"/>
        <v>0.8</v>
      </c>
      <c r="AB271">
        <f t="shared" si="79"/>
        <v>1</v>
      </c>
      <c r="AC271">
        <f t="shared" si="80"/>
        <v>0.8</v>
      </c>
      <c r="AD271">
        <f t="shared" si="81"/>
        <v>0.88888888888888895</v>
      </c>
    </row>
    <row r="272" spans="1:30" x14ac:dyDescent="0.2">
      <c r="A272" s="6" t="s">
        <v>16</v>
      </c>
      <c r="B272" t="s">
        <v>15</v>
      </c>
      <c r="C272">
        <f t="shared" si="66"/>
        <v>20</v>
      </c>
      <c r="D272">
        <f t="shared" si="67"/>
        <v>8</v>
      </c>
      <c r="E272">
        <v>8</v>
      </c>
      <c r="I272">
        <f t="shared" si="68"/>
        <v>1</v>
      </c>
      <c r="J272">
        <f t="shared" si="69"/>
        <v>1</v>
      </c>
      <c r="K272">
        <f>E272/(E272+H272)</f>
        <v>1</v>
      </c>
      <c r="L272">
        <f t="shared" si="71"/>
        <v>1</v>
      </c>
      <c r="M272">
        <f t="shared" si="72"/>
        <v>6</v>
      </c>
      <c r="N272">
        <v>6</v>
      </c>
      <c r="R272">
        <f t="shared" si="73"/>
        <v>1</v>
      </c>
      <c r="S272">
        <f t="shared" si="74"/>
        <v>1</v>
      </c>
      <c r="T272">
        <f t="shared" si="75"/>
        <v>1</v>
      </c>
      <c r="U272">
        <f t="shared" si="76"/>
        <v>1</v>
      </c>
      <c r="V272">
        <f t="shared" si="77"/>
        <v>6</v>
      </c>
      <c r="W272">
        <v>6</v>
      </c>
      <c r="AA272">
        <f t="shared" si="78"/>
        <v>1</v>
      </c>
      <c r="AB272">
        <f t="shared" si="79"/>
        <v>1</v>
      </c>
      <c r="AC272">
        <f t="shared" si="80"/>
        <v>1</v>
      </c>
      <c r="AD272">
        <f t="shared" si="81"/>
        <v>1</v>
      </c>
    </row>
    <row r="273" spans="3:30" x14ac:dyDescent="0.2">
      <c r="C273">
        <f>SUM(C3:C272)</f>
        <v>5143</v>
      </c>
      <c r="E273">
        <f>SUM(E3:E272)</f>
        <v>1869</v>
      </c>
      <c r="F273">
        <f t="shared" ref="F273:H273" si="82">SUM(F3:F272)</f>
        <v>14</v>
      </c>
      <c r="G273">
        <f t="shared" si="82"/>
        <v>33</v>
      </c>
      <c r="H273">
        <f t="shared" si="82"/>
        <v>58</v>
      </c>
      <c r="I273">
        <f>(E273+F273)/(E273+F273+G273+H273)</f>
        <v>0.95390070921985815</v>
      </c>
      <c r="J273">
        <f t="shared" ref="J273" si="83">E273/(E273+G273)</f>
        <v>0.98264984227129337</v>
      </c>
      <c r="K273">
        <f>F273/(F273+H273)</f>
        <v>0.19444444444444445</v>
      </c>
      <c r="L273">
        <f>(F273+H273)/(SUM(E273:H273))</f>
        <v>3.64741641337386E-2</v>
      </c>
      <c r="N273">
        <f>SUM(N3:N272)</f>
        <v>1323</v>
      </c>
      <c r="O273">
        <f t="shared" ref="O273" si="84">SUM(O3:O272)</f>
        <v>3</v>
      </c>
      <c r="P273">
        <f t="shared" ref="P273" si="85">SUM(P3:P272)</f>
        <v>54</v>
      </c>
      <c r="Q273">
        <f t="shared" ref="Q273" si="86">SUM(Q3:Q272)</f>
        <v>25</v>
      </c>
      <c r="R273">
        <f t="shared" si="73"/>
        <v>0.94377224199288257</v>
      </c>
      <c r="S273">
        <f t="shared" si="74"/>
        <v>0.96078431372549022</v>
      </c>
      <c r="T273">
        <f>O273/(O273+Q273)</f>
        <v>0.10714285714285714</v>
      </c>
      <c r="U273">
        <f>(O273+Q273)/(SUM(N273:Q273))</f>
        <v>1.99288256227758E-2</v>
      </c>
      <c r="W273">
        <f>SUM(W3:W272)</f>
        <v>1669</v>
      </c>
      <c r="X273">
        <f t="shared" ref="X273" si="87">SUM(X3:X272)</f>
        <v>3</v>
      </c>
      <c r="Y273">
        <f t="shared" ref="Y273" si="88">SUM(Y3:Y272)</f>
        <v>54</v>
      </c>
      <c r="Z273">
        <f t="shared" ref="Z273" si="89">SUM(Z3:Z272)</f>
        <v>38</v>
      </c>
      <c r="AA273">
        <f t="shared" si="78"/>
        <v>0.94784580498866211</v>
      </c>
      <c r="AB273">
        <f t="shared" si="79"/>
        <v>0.96865931514799763</v>
      </c>
      <c r="AC273">
        <f>X273/(X273+Z273)</f>
        <v>7.3170731707317069E-2</v>
      </c>
      <c r="AD273">
        <f>(X273+Z273)/(SUM(W273:Z273))</f>
        <v>2.3242630385487528E-2</v>
      </c>
    </row>
  </sheetData>
  <mergeCells count="14">
    <mergeCell ref="A1:A2"/>
    <mergeCell ref="A270:A271"/>
    <mergeCell ref="A3:A68"/>
    <mergeCell ref="A69:A70"/>
    <mergeCell ref="A71:A199"/>
    <mergeCell ref="A200:A232"/>
    <mergeCell ref="A234:A238"/>
    <mergeCell ref="A239:A247"/>
    <mergeCell ref="A248:A269"/>
    <mergeCell ref="V1:AD1"/>
    <mergeCell ref="D1:L1"/>
    <mergeCell ref="M1:U1"/>
    <mergeCell ref="C1:C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BF64-8A5C-4849-A14D-7A3ACED942D7}">
  <dimension ref="A1:U21"/>
  <sheetViews>
    <sheetView zoomScale="1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14" sqref="J14"/>
    </sheetView>
  </sheetViews>
  <sheetFormatPr baseColWidth="10" defaultColWidth="8.83203125" defaultRowHeight="16" x14ac:dyDescent="0.2"/>
  <cols>
    <col min="1" max="1" width="28.6640625" bestFit="1" customWidth="1"/>
  </cols>
  <sheetData>
    <row r="1" spans="1:21" x14ac:dyDescent="0.2"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</row>
    <row r="2" spans="1:21" x14ac:dyDescent="0.2">
      <c r="A2" t="s">
        <v>292</v>
      </c>
      <c r="B2" t="s">
        <v>3</v>
      </c>
      <c r="C2" t="s">
        <v>3</v>
      </c>
      <c r="D2" t="s">
        <v>3</v>
      </c>
      <c r="E2" s="8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3</v>
      </c>
      <c r="P2" t="s">
        <v>3</v>
      </c>
      <c r="Q2" t="s">
        <v>3</v>
      </c>
      <c r="R2" t="s">
        <v>5</v>
      </c>
      <c r="S2" t="s">
        <v>3</v>
      </c>
    </row>
    <row r="3" spans="1:21" x14ac:dyDescent="0.2">
      <c r="B3" t="s">
        <v>315</v>
      </c>
      <c r="C3" t="s">
        <v>315</v>
      </c>
      <c r="D3" t="s">
        <v>315</v>
      </c>
      <c r="E3" t="s">
        <v>315</v>
      </c>
      <c r="F3" t="s">
        <v>315</v>
      </c>
      <c r="G3" t="s">
        <v>315</v>
      </c>
      <c r="H3" t="s">
        <v>317</v>
      </c>
      <c r="I3" t="s">
        <v>317</v>
      </c>
      <c r="J3" t="s">
        <v>317</v>
      </c>
      <c r="K3" t="s">
        <v>317</v>
      </c>
      <c r="L3" t="s">
        <v>317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</row>
    <row r="4" spans="1:21" x14ac:dyDescent="0.2">
      <c r="A4" t="s">
        <v>291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</row>
    <row r="5" spans="1:21" x14ac:dyDescent="0.2">
      <c r="B5" t="s">
        <v>315</v>
      </c>
      <c r="C5" t="s">
        <v>315</v>
      </c>
      <c r="D5" t="s">
        <v>317</v>
      </c>
      <c r="E5" t="s">
        <v>315</v>
      </c>
      <c r="F5" t="s">
        <v>316</v>
      </c>
      <c r="G5" t="s">
        <v>315</v>
      </c>
      <c r="H5" t="s">
        <v>317</v>
      </c>
      <c r="I5" t="s">
        <v>316</v>
      </c>
      <c r="J5" t="s">
        <v>315</v>
      </c>
      <c r="K5" t="s">
        <v>316</v>
      </c>
      <c r="L5" t="s">
        <v>317</v>
      </c>
      <c r="M5" t="s">
        <v>316</v>
      </c>
      <c r="N5" t="s">
        <v>315</v>
      </c>
      <c r="O5" t="s">
        <v>316</v>
      </c>
      <c r="P5" t="s">
        <v>317</v>
      </c>
      <c r="Q5" t="s">
        <v>316</v>
      </c>
      <c r="R5" t="s">
        <v>317</v>
      </c>
      <c r="S5" t="s">
        <v>316</v>
      </c>
      <c r="T5" t="s">
        <v>315</v>
      </c>
      <c r="U5" t="s">
        <v>316</v>
      </c>
    </row>
    <row r="6" spans="1:21" x14ac:dyDescent="0.2">
      <c r="A6" t="s">
        <v>290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s="8" t="s">
        <v>5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5</v>
      </c>
      <c r="S6" t="s">
        <v>3</v>
      </c>
      <c r="T6" t="s">
        <v>3</v>
      </c>
      <c r="U6" t="s">
        <v>3</v>
      </c>
    </row>
    <row r="7" spans="1:21" x14ac:dyDescent="0.2">
      <c r="B7" t="s">
        <v>315</v>
      </c>
      <c r="C7" t="s">
        <v>315</v>
      </c>
      <c r="D7" t="s">
        <v>316</v>
      </c>
      <c r="E7" t="s">
        <v>315</v>
      </c>
      <c r="F7" t="s">
        <v>315</v>
      </c>
      <c r="G7" t="s">
        <v>316</v>
      </c>
      <c r="H7" t="s">
        <v>315</v>
      </c>
      <c r="I7" t="s">
        <v>317</v>
      </c>
      <c r="J7" t="s">
        <v>316</v>
      </c>
      <c r="K7" t="s">
        <v>317</v>
      </c>
      <c r="L7" t="s">
        <v>316</v>
      </c>
      <c r="M7" t="s">
        <v>315</v>
      </c>
      <c r="N7" t="s">
        <v>316</v>
      </c>
      <c r="O7" t="s">
        <v>317</v>
      </c>
      <c r="P7" t="s">
        <v>316</v>
      </c>
      <c r="Q7" t="s">
        <v>315</v>
      </c>
      <c r="R7" t="s">
        <v>317</v>
      </c>
      <c r="S7" t="s">
        <v>316</v>
      </c>
      <c r="T7" t="s">
        <v>315</v>
      </c>
      <c r="U7" t="s">
        <v>317</v>
      </c>
    </row>
    <row r="8" spans="1:21" x14ac:dyDescent="0.2">
      <c r="A8" t="s">
        <v>289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5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5</v>
      </c>
    </row>
    <row r="9" spans="1:21" x14ac:dyDescent="0.2">
      <c r="B9" t="s">
        <v>315</v>
      </c>
      <c r="C9" t="s">
        <v>315</v>
      </c>
      <c r="D9" t="s">
        <v>315</v>
      </c>
      <c r="E9" t="s">
        <v>315</v>
      </c>
      <c r="F9" t="s">
        <v>315</v>
      </c>
      <c r="G9" t="s">
        <v>315</v>
      </c>
      <c r="H9" t="s">
        <v>317</v>
      </c>
      <c r="I9" t="s">
        <v>317</v>
      </c>
      <c r="J9" t="s">
        <v>317</v>
      </c>
      <c r="K9" t="s">
        <v>317</v>
      </c>
      <c r="L9" t="s">
        <v>317</v>
      </c>
      <c r="M9" t="s">
        <v>317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  <c r="U9" t="s">
        <v>316</v>
      </c>
    </row>
    <row r="10" spans="1:21" x14ac:dyDescent="0.2">
      <c r="A10" t="s">
        <v>288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5</v>
      </c>
      <c r="T10" t="s">
        <v>3</v>
      </c>
      <c r="U10" t="s">
        <v>3</v>
      </c>
    </row>
    <row r="11" spans="1:21" x14ac:dyDescent="0.2">
      <c r="B11" t="s">
        <v>315</v>
      </c>
      <c r="C11" t="s">
        <v>315</v>
      </c>
      <c r="D11" t="s">
        <v>317</v>
      </c>
      <c r="E11" t="s">
        <v>316</v>
      </c>
      <c r="F11" t="s">
        <v>317</v>
      </c>
      <c r="G11" t="s">
        <v>316</v>
      </c>
      <c r="H11" t="s">
        <v>315</v>
      </c>
      <c r="I11" t="s">
        <v>317</v>
      </c>
      <c r="J11" t="s">
        <v>316</v>
      </c>
      <c r="K11" t="s">
        <v>317</v>
      </c>
      <c r="L11" t="s">
        <v>316</v>
      </c>
      <c r="M11" t="s">
        <v>315</v>
      </c>
      <c r="N11" t="s">
        <v>317</v>
      </c>
      <c r="O11" t="s">
        <v>316</v>
      </c>
      <c r="P11" t="s">
        <v>317</v>
      </c>
      <c r="Q11" t="s">
        <v>316</v>
      </c>
      <c r="R11" t="s">
        <v>317</v>
      </c>
      <c r="S11" t="s">
        <v>316</v>
      </c>
      <c r="T11" t="s">
        <v>315</v>
      </c>
      <c r="U11" t="s">
        <v>317</v>
      </c>
    </row>
    <row r="12" spans="1:21" x14ac:dyDescent="0.2">
      <c r="A12" t="s">
        <v>287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5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s="8" t="s">
        <v>5</v>
      </c>
      <c r="R12" t="s">
        <v>5</v>
      </c>
      <c r="S12" t="s">
        <v>3</v>
      </c>
      <c r="T12" t="s">
        <v>3</v>
      </c>
      <c r="U12" t="s">
        <v>3</v>
      </c>
    </row>
    <row r="13" spans="1:21" x14ac:dyDescent="0.2">
      <c r="B13" t="s">
        <v>315</v>
      </c>
      <c r="C13" t="s">
        <v>315</v>
      </c>
      <c r="D13" t="s">
        <v>315</v>
      </c>
      <c r="E13" t="s">
        <v>315</v>
      </c>
      <c r="F13" t="s">
        <v>315</v>
      </c>
      <c r="G13" t="s">
        <v>315</v>
      </c>
      <c r="H13" t="s">
        <v>317</v>
      </c>
      <c r="I13" t="s">
        <v>317</v>
      </c>
      <c r="J13" t="s">
        <v>317</v>
      </c>
      <c r="K13" t="s">
        <v>317</v>
      </c>
      <c r="L13" t="s">
        <v>317</v>
      </c>
      <c r="M13" t="s">
        <v>317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  <c r="U13" t="s">
        <v>316</v>
      </c>
    </row>
    <row r="14" spans="1:21" x14ac:dyDescent="0.2">
      <c r="A14" t="s">
        <v>286</v>
      </c>
      <c r="B14" t="s">
        <v>3</v>
      </c>
      <c r="C14" s="8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</row>
    <row r="15" spans="1:21" x14ac:dyDescent="0.2">
      <c r="B15" t="s">
        <v>315</v>
      </c>
      <c r="C15" t="s">
        <v>315</v>
      </c>
      <c r="D15" t="s">
        <v>316</v>
      </c>
      <c r="E15" t="s">
        <v>315</v>
      </c>
      <c r="F15" t="s">
        <v>316</v>
      </c>
      <c r="G15" t="s">
        <v>317</v>
      </c>
      <c r="H15" t="s">
        <v>315</v>
      </c>
      <c r="I15" t="s">
        <v>316</v>
      </c>
      <c r="J15" t="s">
        <v>315</v>
      </c>
      <c r="K15" t="s">
        <v>316</v>
      </c>
      <c r="L15" t="s">
        <v>317</v>
      </c>
      <c r="M15" t="s">
        <v>316</v>
      </c>
      <c r="N15" t="s">
        <v>315</v>
      </c>
      <c r="O15" t="s">
        <v>316</v>
      </c>
      <c r="P15" t="s">
        <v>317</v>
      </c>
      <c r="Q15" t="s">
        <v>317</v>
      </c>
      <c r="R15" t="s">
        <v>316</v>
      </c>
      <c r="S15" t="s">
        <v>315</v>
      </c>
      <c r="T15" t="s">
        <v>317</v>
      </c>
      <c r="U15" t="s">
        <v>316</v>
      </c>
    </row>
    <row r="16" spans="1:21" x14ac:dyDescent="0.2">
      <c r="A16" t="s">
        <v>285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</row>
    <row r="17" spans="1:21" x14ac:dyDescent="0.2">
      <c r="B17" t="s">
        <v>315</v>
      </c>
      <c r="C17" t="s">
        <v>315</v>
      </c>
      <c r="D17" t="s">
        <v>316</v>
      </c>
      <c r="E17" t="s">
        <v>315</v>
      </c>
      <c r="F17" t="s">
        <v>315</v>
      </c>
      <c r="G17" t="s">
        <v>316</v>
      </c>
      <c r="H17" t="s">
        <v>317</v>
      </c>
      <c r="I17" t="s">
        <v>316</v>
      </c>
      <c r="J17" t="s">
        <v>315</v>
      </c>
      <c r="K17" t="s">
        <v>316</v>
      </c>
      <c r="L17" t="s">
        <v>317</v>
      </c>
      <c r="M17" t="s">
        <v>316</v>
      </c>
      <c r="N17" t="s">
        <v>315</v>
      </c>
      <c r="O17" t="s">
        <v>317</v>
      </c>
      <c r="P17" t="s">
        <v>316</v>
      </c>
      <c r="Q17" t="s">
        <v>317</v>
      </c>
      <c r="R17" t="s">
        <v>316</v>
      </c>
      <c r="S17" t="s">
        <v>317</v>
      </c>
      <c r="T17" t="s">
        <v>315</v>
      </c>
      <c r="U17" t="s">
        <v>316</v>
      </c>
    </row>
    <row r="18" spans="1:21" x14ac:dyDescent="0.2">
      <c r="A18" t="s">
        <v>284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s="8" t="s">
        <v>3</v>
      </c>
    </row>
    <row r="19" spans="1:21" x14ac:dyDescent="0.2">
      <c r="B19" t="s">
        <v>315</v>
      </c>
      <c r="C19" t="s">
        <v>317</v>
      </c>
      <c r="D19" t="s">
        <v>316</v>
      </c>
      <c r="E19" t="s">
        <v>315</v>
      </c>
      <c r="F19" t="s">
        <v>317</v>
      </c>
      <c r="G19" t="s">
        <v>318</v>
      </c>
      <c r="H19" t="s">
        <v>315</v>
      </c>
      <c r="I19" t="s">
        <v>315</v>
      </c>
      <c r="J19" t="s">
        <v>316</v>
      </c>
      <c r="K19" t="s">
        <v>317</v>
      </c>
      <c r="L19" t="s">
        <v>316</v>
      </c>
      <c r="M19" t="s">
        <v>315</v>
      </c>
      <c r="N19" t="s">
        <v>317</v>
      </c>
      <c r="O19" t="s">
        <v>316</v>
      </c>
      <c r="P19" t="s">
        <v>315</v>
      </c>
      <c r="Q19" t="s">
        <v>316</v>
      </c>
      <c r="R19" t="s">
        <v>317</v>
      </c>
      <c r="S19" t="s">
        <v>316</v>
      </c>
      <c r="T19" t="s">
        <v>315</v>
      </c>
      <c r="U19" t="s">
        <v>317</v>
      </c>
    </row>
    <row r="20" spans="1:21" x14ac:dyDescent="0.2">
      <c r="A20" t="s">
        <v>283</v>
      </c>
      <c r="B20" t="s">
        <v>3</v>
      </c>
      <c r="C20" t="s">
        <v>3</v>
      </c>
      <c r="D20" s="8" t="s">
        <v>6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5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</row>
    <row r="21" spans="1:21" x14ac:dyDescent="0.2">
      <c r="B21" t="s">
        <v>315</v>
      </c>
      <c r="C21" t="s">
        <v>315</v>
      </c>
      <c r="D21" t="s">
        <v>317</v>
      </c>
      <c r="E21" t="s">
        <v>316</v>
      </c>
      <c r="F21" t="s">
        <v>315</v>
      </c>
      <c r="G21" t="s">
        <v>316</v>
      </c>
      <c r="H21" t="s">
        <v>317</v>
      </c>
      <c r="I21" t="s">
        <v>316</v>
      </c>
      <c r="J21" t="s">
        <v>317</v>
      </c>
      <c r="K21" t="s">
        <v>316</v>
      </c>
      <c r="L21" t="s">
        <v>315</v>
      </c>
      <c r="M21" t="s">
        <v>316</v>
      </c>
      <c r="N21" t="s">
        <v>317</v>
      </c>
      <c r="O21" t="s">
        <v>316</v>
      </c>
      <c r="P21" t="s">
        <v>315</v>
      </c>
      <c r="Q21" t="s">
        <v>316</v>
      </c>
      <c r="R21" t="s">
        <v>317</v>
      </c>
      <c r="S21" t="s">
        <v>317</v>
      </c>
      <c r="T21" t="s">
        <v>316</v>
      </c>
      <c r="U21" t="s">
        <v>315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46BB-9D0A-F24C-941F-14EBF1A5FE59}">
  <dimension ref="A1:U21"/>
  <sheetViews>
    <sheetView workbookViewId="0">
      <selection activeCell="A2" sqref="A2:XFD13"/>
    </sheetView>
  </sheetViews>
  <sheetFormatPr baseColWidth="10" defaultRowHeight="16" x14ac:dyDescent="0.2"/>
  <cols>
    <col min="1" max="1" width="35.6640625" bestFit="1" customWidth="1"/>
  </cols>
  <sheetData>
    <row r="1" spans="1:21" x14ac:dyDescent="0.2"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</row>
    <row r="2" spans="1:21" x14ac:dyDescent="0.2">
      <c r="A2" s="10" t="s">
        <v>286</v>
      </c>
      <c r="B2" s="11" t="s">
        <v>3</v>
      </c>
      <c r="C2" s="11" t="s">
        <v>3</v>
      </c>
      <c r="D2" s="11" t="s">
        <v>3</v>
      </c>
      <c r="E2" s="11" t="s">
        <v>3</v>
      </c>
      <c r="F2" s="11" t="s">
        <v>3</v>
      </c>
      <c r="G2" s="11" t="s">
        <v>3</v>
      </c>
      <c r="H2" s="11" t="s">
        <v>3</v>
      </c>
      <c r="I2" s="11" t="s">
        <v>3</v>
      </c>
      <c r="J2" s="11" t="s">
        <v>3</v>
      </c>
      <c r="K2" s="11" t="s">
        <v>3</v>
      </c>
      <c r="L2" s="11" t="s">
        <v>3</v>
      </c>
      <c r="M2" s="11" t="s">
        <v>3</v>
      </c>
      <c r="N2" s="11" t="s">
        <v>3</v>
      </c>
      <c r="O2" s="11" t="s">
        <v>3</v>
      </c>
      <c r="P2" s="11" t="s">
        <v>3</v>
      </c>
      <c r="Q2" s="11" t="s">
        <v>3</v>
      </c>
      <c r="R2" s="11" t="s">
        <v>3</v>
      </c>
      <c r="S2" s="11" t="s">
        <v>3</v>
      </c>
      <c r="T2" s="11" t="s">
        <v>3</v>
      </c>
      <c r="U2" s="11" t="s">
        <v>3</v>
      </c>
    </row>
    <row r="3" spans="1:21" x14ac:dyDescent="0.2">
      <c r="B3" t="s">
        <v>315</v>
      </c>
      <c r="C3" t="s">
        <v>315</v>
      </c>
      <c r="D3" t="s">
        <v>316</v>
      </c>
      <c r="E3" t="s">
        <v>315</v>
      </c>
      <c r="F3" t="s">
        <v>316</v>
      </c>
      <c r="G3" t="s">
        <v>317</v>
      </c>
      <c r="H3" t="s">
        <v>315</v>
      </c>
      <c r="I3" t="s">
        <v>316</v>
      </c>
      <c r="J3" t="s">
        <v>315</v>
      </c>
      <c r="K3" t="s">
        <v>316</v>
      </c>
      <c r="L3" t="s">
        <v>317</v>
      </c>
      <c r="M3" t="s">
        <v>316</v>
      </c>
      <c r="N3" t="s">
        <v>315</v>
      </c>
      <c r="O3" t="s">
        <v>316</v>
      </c>
      <c r="P3" t="s">
        <v>317</v>
      </c>
      <c r="Q3" t="s">
        <v>317</v>
      </c>
      <c r="R3" t="s">
        <v>316</v>
      </c>
      <c r="S3" t="s">
        <v>315</v>
      </c>
      <c r="T3" t="s">
        <v>317</v>
      </c>
      <c r="U3" t="s">
        <v>316</v>
      </c>
    </row>
    <row r="4" spans="1:21" x14ac:dyDescent="0.2">
      <c r="A4" s="13" t="s">
        <v>230</v>
      </c>
      <c r="B4" s="11" t="s">
        <v>3</v>
      </c>
      <c r="C4" s="11" t="s">
        <v>3</v>
      </c>
      <c r="D4" s="11" t="s">
        <v>3</v>
      </c>
      <c r="E4" s="11" t="s">
        <v>3</v>
      </c>
      <c r="F4" s="11" t="s">
        <v>3</v>
      </c>
      <c r="G4" s="11" t="s">
        <v>3</v>
      </c>
      <c r="H4" s="11" t="s">
        <v>3</v>
      </c>
      <c r="I4" s="11" t="s">
        <v>3</v>
      </c>
      <c r="J4" s="11" t="s">
        <v>3</v>
      </c>
      <c r="K4" s="11" t="s">
        <v>3</v>
      </c>
      <c r="L4" s="11"/>
    </row>
    <row r="5" spans="1:21" x14ac:dyDescent="0.2">
      <c r="B5" t="s">
        <v>315</v>
      </c>
      <c r="C5" t="s">
        <v>315</v>
      </c>
      <c r="D5" t="s">
        <v>315</v>
      </c>
      <c r="E5" t="s">
        <v>315</v>
      </c>
      <c r="F5" t="s">
        <v>315</v>
      </c>
      <c r="G5" t="s">
        <v>315</v>
      </c>
      <c r="H5" t="s">
        <v>315</v>
      </c>
      <c r="I5" t="s">
        <v>315</v>
      </c>
      <c r="J5" t="s">
        <v>315</v>
      </c>
      <c r="K5" t="s">
        <v>315</v>
      </c>
    </row>
    <row r="6" spans="1:21" x14ac:dyDescent="0.2">
      <c r="A6" s="10" t="s">
        <v>198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5</v>
      </c>
      <c r="H6" t="s">
        <v>3</v>
      </c>
      <c r="I6" t="s">
        <v>3</v>
      </c>
      <c r="J6" t="s">
        <v>4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s="8" t="s">
        <v>4</v>
      </c>
      <c r="R6" s="8" t="s">
        <v>4</v>
      </c>
      <c r="S6" s="8" t="s">
        <v>4</v>
      </c>
      <c r="T6" t="s">
        <v>3</v>
      </c>
      <c r="U6" t="s">
        <v>3</v>
      </c>
    </row>
    <row r="7" spans="1:21" x14ac:dyDescent="0.2">
      <c r="A7" s="10" t="s">
        <v>192</v>
      </c>
    </row>
    <row r="8" spans="1:21" x14ac:dyDescent="0.2">
      <c r="A8" s="10" t="s">
        <v>184</v>
      </c>
      <c r="B8" t="s">
        <v>3</v>
      </c>
      <c r="C8" t="s">
        <v>3</v>
      </c>
      <c r="D8" t="s">
        <v>3</v>
      </c>
      <c r="E8" t="s">
        <v>3</v>
      </c>
      <c r="F8" t="s">
        <v>4</v>
      </c>
      <c r="G8" t="s">
        <v>3</v>
      </c>
      <c r="H8" t="s">
        <v>3</v>
      </c>
      <c r="I8" t="s">
        <v>3</v>
      </c>
      <c r="J8" t="s">
        <v>3</v>
      </c>
      <c r="K8" t="s">
        <v>4</v>
      </c>
      <c r="L8" t="s">
        <v>3</v>
      </c>
      <c r="M8" t="s">
        <v>3</v>
      </c>
      <c r="N8" t="s">
        <v>3</v>
      </c>
      <c r="O8" s="8" t="s">
        <v>3</v>
      </c>
      <c r="P8" t="s">
        <v>3</v>
      </c>
      <c r="Q8" t="s">
        <v>3</v>
      </c>
      <c r="R8" t="s">
        <v>5</v>
      </c>
      <c r="S8" t="s">
        <v>3</v>
      </c>
      <c r="T8" t="s">
        <v>4</v>
      </c>
      <c r="U8" t="s">
        <v>3</v>
      </c>
    </row>
    <row r="9" spans="1:21" x14ac:dyDescent="0.2">
      <c r="A9" s="13" t="s">
        <v>180</v>
      </c>
      <c r="B9" s="12" t="s">
        <v>336</v>
      </c>
      <c r="C9" s="12" t="s">
        <v>5</v>
      </c>
      <c r="D9" s="11" t="s">
        <v>3</v>
      </c>
      <c r="E9" s="12" t="s">
        <v>5</v>
      </c>
      <c r="F9" s="11" t="s">
        <v>3</v>
      </c>
      <c r="G9" s="11" t="s">
        <v>3</v>
      </c>
      <c r="H9" s="11" t="s">
        <v>3</v>
      </c>
      <c r="I9" s="12" t="s">
        <v>5</v>
      </c>
      <c r="J9" s="12" t="s">
        <v>5</v>
      </c>
      <c r="K9" s="12" t="s">
        <v>5</v>
      </c>
    </row>
    <row r="10" spans="1:21" x14ac:dyDescent="0.2">
      <c r="B10" t="s">
        <v>315</v>
      </c>
      <c r="C10" t="s">
        <v>315</v>
      </c>
      <c r="D10" t="s">
        <v>315</v>
      </c>
      <c r="E10" t="s">
        <v>315</v>
      </c>
      <c r="F10" t="s">
        <v>315</v>
      </c>
      <c r="G10" t="s">
        <v>315</v>
      </c>
      <c r="H10" t="s">
        <v>315</v>
      </c>
      <c r="I10" t="s">
        <v>315</v>
      </c>
      <c r="J10" t="s">
        <v>315</v>
      </c>
      <c r="K10" t="s">
        <v>315</v>
      </c>
    </row>
    <row r="11" spans="1:21" x14ac:dyDescent="0.2">
      <c r="A11" s="10" t="s">
        <v>152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s="8" t="s">
        <v>4</v>
      </c>
      <c r="K11" t="s">
        <v>3</v>
      </c>
      <c r="L11" s="8" t="s">
        <v>4</v>
      </c>
      <c r="M11" t="s">
        <v>4</v>
      </c>
      <c r="N11" t="s">
        <v>5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</row>
    <row r="12" spans="1:21" x14ac:dyDescent="0.2">
      <c r="A12" s="10"/>
      <c r="B12" t="s">
        <v>315</v>
      </c>
      <c r="C12" t="s">
        <v>315</v>
      </c>
      <c r="D12" t="s">
        <v>315</v>
      </c>
      <c r="E12" t="s">
        <v>315</v>
      </c>
      <c r="F12" t="s">
        <v>315</v>
      </c>
      <c r="G12" t="s">
        <v>315</v>
      </c>
      <c r="H12" t="s">
        <v>317</v>
      </c>
      <c r="I12" t="s">
        <v>317</v>
      </c>
      <c r="J12" t="s">
        <v>317</v>
      </c>
      <c r="K12" t="s">
        <v>317</v>
      </c>
      <c r="L12" t="s">
        <v>317</v>
      </c>
      <c r="M12" t="s">
        <v>317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1" x14ac:dyDescent="0.2">
      <c r="A13" s="13" t="s">
        <v>116</v>
      </c>
      <c r="B13" s="12" t="s">
        <v>4</v>
      </c>
      <c r="C13" s="12" t="s">
        <v>4</v>
      </c>
      <c r="D13" s="11" t="s">
        <v>3</v>
      </c>
      <c r="E13" s="11" t="s">
        <v>5</v>
      </c>
      <c r="F13" s="11" t="s">
        <v>5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11" t="s">
        <v>3</v>
      </c>
      <c r="N13" s="11" t="s">
        <v>3</v>
      </c>
      <c r="O13" s="11" t="s">
        <v>3</v>
      </c>
      <c r="P13" s="11" t="s">
        <v>3</v>
      </c>
      <c r="Q13" s="11" t="s">
        <v>3</v>
      </c>
      <c r="R13" s="11" t="s">
        <v>3</v>
      </c>
      <c r="S13" s="11" t="s">
        <v>3</v>
      </c>
      <c r="T13" s="11" t="s">
        <v>3</v>
      </c>
      <c r="U13" s="11" t="s">
        <v>3</v>
      </c>
    </row>
    <row r="15" spans="1:21" x14ac:dyDescent="0.2">
      <c r="A15" s="13" t="s">
        <v>80</v>
      </c>
    </row>
    <row r="17" spans="1:21" x14ac:dyDescent="0.2">
      <c r="A17" s="10" t="s">
        <v>67</v>
      </c>
      <c r="B17" s="24" t="s">
        <v>337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9" spans="1:21" x14ac:dyDescent="0.2">
      <c r="A19" s="13" t="s">
        <v>53</v>
      </c>
    </row>
    <row r="21" spans="1:21" x14ac:dyDescent="0.2">
      <c r="A21" s="14" t="s">
        <v>338</v>
      </c>
    </row>
  </sheetData>
  <mergeCells count="1">
    <mergeCell ref="B17:U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AD057-1CC6-BE45-8E67-4D46522AC2AB}">
  <dimension ref="A1:U10"/>
  <sheetViews>
    <sheetView workbookViewId="0">
      <selection activeCell="A2" sqref="A2:XFD10"/>
    </sheetView>
  </sheetViews>
  <sheetFormatPr baseColWidth="10" defaultRowHeight="16" x14ac:dyDescent="0.2"/>
  <cols>
    <col min="1" max="1" width="31.1640625" bestFit="1" customWidth="1"/>
  </cols>
  <sheetData>
    <row r="1" spans="1:21" x14ac:dyDescent="0.2"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</row>
    <row r="2" spans="1:21" x14ac:dyDescent="0.2">
      <c r="A2" s="15" t="s">
        <v>88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5</v>
      </c>
      <c r="O2" t="s">
        <v>3</v>
      </c>
      <c r="P2" t="s">
        <v>3</v>
      </c>
      <c r="Q2" t="s">
        <v>3</v>
      </c>
      <c r="R2" t="s">
        <v>3</v>
      </c>
      <c r="S2" t="s">
        <v>4</v>
      </c>
      <c r="T2" t="s">
        <v>3</v>
      </c>
      <c r="U2" t="s">
        <v>3</v>
      </c>
    </row>
    <row r="4" spans="1:21" x14ac:dyDescent="0.2">
      <c r="A4" s="15" t="s">
        <v>95</v>
      </c>
      <c r="B4" s="8" t="s">
        <v>6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</row>
    <row r="6" spans="1:21" x14ac:dyDescent="0.2">
      <c r="A6" s="15" t="s">
        <v>221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</row>
    <row r="8" spans="1:21" x14ac:dyDescent="0.2">
      <c r="A8" s="15" t="s">
        <v>243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s="8" t="s">
        <v>5</v>
      </c>
      <c r="N8" t="s">
        <v>3</v>
      </c>
      <c r="O8" t="s">
        <v>3</v>
      </c>
      <c r="P8" t="s">
        <v>5</v>
      </c>
      <c r="Q8" t="s">
        <v>5</v>
      </c>
      <c r="R8" t="s">
        <v>3</v>
      </c>
      <c r="S8" t="s">
        <v>3</v>
      </c>
      <c r="T8" t="s">
        <v>3</v>
      </c>
      <c r="U8" t="s">
        <v>3</v>
      </c>
    </row>
    <row r="10" spans="1:21" x14ac:dyDescent="0.2">
      <c r="A10" s="15" t="s">
        <v>49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E918-CEF0-2B43-97CD-456AB5B38CDA}">
  <dimension ref="A1:U10"/>
  <sheetViews>
    <sheetView workbookViewId="0">
      <selection activeCell="A10" activeCellId="3" sqref="A2:XFD2 A6:XFD6 A8:XFD8 A10:XFD10"/>
    </sheetView>
  </sheetViews>
  <sheetFormatPr baseColWidth="10" defaultRowHeight="16" x14ac:dyDescent="0.2"/>
  <cols>
    <col min="1" max="1" width="32.5" bestFit="1" customWidth="1"/>
  </cols>
  <sheetData>
    <row r="1" spans="1:21" x14ac:dyDescent="0.2"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</row>
    <row r="2" spans="1:21" x14ac:dyDescent="0.2">
      <c r="A2" s="15" t="s">
        <v>204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5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5</v>
      </c>
      <c r="P2" t="s">
        <v>3</v>
      </c>
      <c r="Q2" t="s">
        <v>3</v>
      </c>
      <c r="R2" t="s">
        <v>3</v>
      </c>
    </row>
    <row r="4" spans="1:21" x14ac:dyDescent="0.2">
      <c r="A4" s="16" t="s">
        <v>127</v>
      </c>
      <c r="B4" t="s">
        <v>3</v>
      </c>
      <c r="C4" t="s">
        <v>3</v>
      </c>
      <c r="D4" t="s">
        <v>3</v>
      </c>
      <c r="E4" t="s">
        <v>5</v>
      </c>
      <c r="F4" t="s">
        <v>3</v>
      </c>
      <c r="G4" t="s">
        <v>3</v>
      </c>
      <c r="H4" t="s">
        <v>3</v>
      </c>
      <c r="I4" t="s">
        <v>3</v>
      </c>
      <c r="J4" s="8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4</v>
      </c>
      <c r="S4" t="s">
        <v>3</v>
      </c>
      <c r="T4" t="s">
        <v>4</v>
      </c>
      <c r="U4" t="s">
        <v>3</v>
      </c>
    </row>
    <row r="5" spans="1:21" x14ac:dyDescent="0.2">
      <c r="E5" t="s">
        <v>341</v>
      </c>
      <c r="J5" s="9" t="s">
        <v>339</v>
      </c>
      <c r="R5" s="9" t="s">
        <v>340</v>
      </c>
      <c r="T5" s="9" t="s">
        <v>340</v>
      </c>
    </row>
    <row r="6" spans="1:21" x14ac:dyDescent="0.2">
      <c r="A6" s="15" t="s">
        <v>239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4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5</v>
      </c>
      <c r="T6" t="s">
        <v>3</v>
      </c>
      <c r="U6" t="s">
        <v>3</v>
      </c>
    </row>
    <row r="7" spans="1:21" x14ac:dyDescent="0.2">
      <c r="I7" t="s">
        <v>340</v>
      </c>
      <c r="S7" t="s">
        <v>340</v>
      </c>
    </row>
    <row r="8" spans="1:21" x14ac:dyDescent="0.2">
      <c r="A8" s="15" t="s">
        <v>70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s="8" t="s">
        <v>6</v>
      </c>
      <c r="R8" t="s">
        <v>3</v>
      </c>
      <c r="S8" t="s">
        <v>3</v>
      </c>
      <c r="T8" s="8" t="s">
        <v>6</v>
      </c>
      <c r="U8" s="8" t="s">
        <v>6</v>
      </c>
    </row>
    <row r="9" spans="1:21" x14ac:dyDescent="0.2">
      <c r="Q9" s="9" t="s">
        <v>339</v>
      </c>
      <c r="T9" s="9" t="s">
        <v>339</v>
      </c>
      <c r="U9" s="9" t="s">
        <v>339</v>
      </c>
    </row>
    <row r="10" spans="1:21" x14ac:dyDescent="0.2">
      <c r="A10" s="15" t="s">
        <v>92</v>
      </c>
      <c r="B10" t="s">
        <v>4</v>
      </c>
      <c r="C10" t="s">
        <v>3</v>
      </c>
      <c r="D10" t="s">
        <v>3</v>
      </c>
      <c r="E10" t="s">
        <v>3</v>
      </c>
      <c r="F10" t="s">
        <v>3</v>
      </c>
      <c r="G10" t="s">
        <v>5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2C4D-B4AB-1248-8853-23AD481C30C9}">
  <dimension ref="A1:U10"/>
  <sheetViews>
    <sheetView workbookViewId="0">
      <selection activeCell="A2" sqref="A2:XFD10"/>
    </sheetView>
  </sheetViews>
  <sheetFormatPr baseColWidth="10" defaultRowHeight="16" x14ac:dyDescent="0.2"/>
  <cols>
    <col min="1" max="1" width="32.5" bestFit="1" customWidth="1"/>
  </cols>
  <sheetData>
    <row r="1" spans="1:21" x14ac:dyDescent="0.2">
      <c r="B1" t="s">
        <v>295</v>
      </c>
      <c r="C1" t="s">
        <v>296</v>
      </c>
      <c r="D1" t="s">
        <v>297</v>
      </c>
      <c r="E1" t="s">
        <v>298</v>
      </c>
      <c r="F1" t="s">
        <v>299</v>
      </c>
      <c r="G1" t="s">
        <v>300</v>
      </c>
      <c r="H1" t="s">
        <v>301</v>
      </c>
      <c r="I1" t="s">
        <v>302</v>
      </c>
      <c r="J1" t="s">
        <v>303</v>
      </c>
      <c r="K1" t="s">
        <v>304</v>
      </c>
      <c r="L1" t="s">
        <v>305</v>
      </c>
      <c r="M1" t="s">
        <v>306</v>
      </c>
      <c r="N1" t="s">
        <v>307</v>
      </c>
      <c r="O1" t="s">
        <v>308</v>
      </c>
      <c r="P1" t="s">
        <v>309</v>
      </c>
      <c r="Q1" t="s">
        <v>310</v>
      </c>
      <c r="R1" t="s">
        <v>311</v>
      </c>
      <c r="S1" t="s">
        <v>312</v>
      </c>
      <c r="T1" t="s">
        <v>313</v>
      </c>
      <c r="U1" t="s">
        <v>314</v>
      </c>
    </row>
    <row r="2" spans="1:21" x14ac:dyDescent="0.2">
      <c r="A2" s="15" t="s">
        <v>217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4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</row>
    <row r="4" spans="1:21" x14ac:dyDescent="0.2">
      <c r="A4" s="15" t="s">
        <v>276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</row>
    <row r="6" spans="1:21" x14ac:dyDescent="0.2">
      <c r="A6" s="15" t="s">
        <v>257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s="8" t="s">
        <v>4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</row>
    <row r="8" spans="1:21" x14ac:dyDescent="0.2">
      <c r="A8" s="15" t="s">
        <v>33</v>
      </c>
      <c r="B8" t="s">
        <v>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s="8" t="s">
        <v>6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</row>
    <row r="10" spans="1:21" x14ac:dyDescent="0.2">
      <c r="A10" s="15" t="s">
        <v>125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6D91-3F81-A34C-AA73-69916DE30432}">
  <dimension ref="A1:D10"/>
  <sheetViews>
    <sheetView workbookViewId="0">
      <selection activeCell="D9" sqref="D9"/>
    </sheetView>
  </sheetViews>
  <sheetFormatPr baseColWidth="10" defaultRowHeight="16" x14ac:dyDescent="0.2"/>
  <cols>
    <col min="1" max="1" width="14.1640625" bestFit="1" customWidth="1"/>
  </cols>
  <sheetData>
    <row r="1" spans="1:4" x14ac:dyDescent="0.2">
      <c r="A1" t="s">
        <v>319</v>
      </c>
      <c r="B1" t="s">
        <v>320</v>
      </c>
      <c r="C1" t="s">
        <v>321</v>
      </c>
      <c r="D1" t="s">
        <v>322</v>
      </c>
    </row>
    <row r="2" spans="1:4" x14ac:dyDescent="0.2">
      <c r="A2" t="s">
        <v>323</v>
      </c>
      <c r="B2" t="s">
        <v>324</v>
      </c>
      <c r="C2" t="s">
        <v>325</v>
      </c>
      <c r="D2" t="s">
        <v>5</v>
      </c>
    </row>
    <row r="3" spans="1:4" x14ac:dyDescent="0.2">
      <c r="A3" t="s">
        <v>287</v>
      </c>
      <c r="B3" s="9" t="s">
        <v>326</v>
      </c>
      <c r="C3" s="9" t="b">
        <v>1</v>
      </c>
      <c r="D3" t="s">
        <v>5</v>
      </c>
    </row>
    <row r="4" spans="1:4" x14ac:dyDescent="0.2">
      <c r="A4" t="s">
        <v>286</v>
      </c>
      <c r="B4" t="s">
        <v>328</v>
      </c>
      <c r="C4" t="s">
        <v>327</v>
      </c>
      <c r="D4" t="s">
        <v>3</v>
      </c>
    </row>
    <row r="5" spans="1:4" x14ac:dyDescent="0.2">
      <c r="A5" t="s">
        <v>290</v>
      </c>
      <c r="B5" s="9" t="s">
        <v>329</v>
      </c>
      <c r="C5" s="9" t="s">
        <v>330</v>
      </c>
      <c r="D5" t="s">
        <v>5</v>
      </c>
    </row>
    <row r="6" spans="1:4" x14ac:dyDescent="0.2">
      <c r="A6" t="s">
        <v>284</v>
      </c>
      <c r="B6" s="9" t="s">
        <v>331</v>
      </c>
      <c r="C6" s="9" t="s">
        <v>332</v>
      </c>
      <c r="D6" t="s">
        <v>3</v>
      </c>
    </row>
    <row r="7" spans="1:4" x14ac:dyDescent="0.2">
      <c r="A7" t="s">
        <v>283</v>
      </c>
      <c r="B7" s="9" t="s">
        <v>333</v>
      </c>
      <c r="C7" s="9" t="s">
        <v>334</v>
      </c>
      <c r="D7" t="s">
        <v>5</v>
      </c>
    </row>
    <row r="8" spans="1:4" x14ac:dyDescent="0.2">
      <c r="A8" t="s">
        <v>289</v>
      </c>
      <c r="B8" s="9" t="s">
        <v>335</v>
      </c>
      <c r="C8" s="9" t="b">
        <v>1</v>
      </c>
      <c r="D8" t="s">
        <v>5</v>
      </c>
    </row>
    <row r="9" spans="1:4" x14ac:dyDescent="0.2">
      <c r="A9" t="s">
        <v>283</v>
      </c>
      <c r="B9" t="s">
        <v>317</v>
      </c>
      <c r="C9" s="9" t="s">
        <v>334</v>
      </c>
      <c r="D9" t="s">
        <v>6</v>
      </c>
    </row>
    <row r="10" spans="1:4" x14ac:dyDescent="0.2">
      <c r="B10" s="9"/>
      <c r="C10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DECB-D6D8-844B-8872-0D5DFC5872F6}">
  <dimension ref="A1:U28"/>
  <sheetViews>
    <sheetView workbookViewId="0">
      <selection sqref="A1:U28"/>
    </sheetView>
  </sheetViews>
  <sheetFormatPr baseColWidth="10" defaultRowHeight="16" x14ac:dyDescent="0.2"/>
  <cols>
    <col min="1" max="1" width="29.83203125" bestFit="1" customWidth="1"/>
  </cols>
  <sheetData>
    <row r="1" spans="1:2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">
      <c r="A2" t="s">
        <v>292</v>
      </c>
      <c r="B2" t="s">
        <v>3</v>
      </c>
      <c r="C2" t="s">
        <v>3</v>
      </c>
      <c r="D2" t="s">
        <v>3</v>
      </c>
      <c r="E2" s="8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3</v>
      </c>
      <c r="P2" t="s">
        <v>3</v>
      </c>
      <c r="Q2" t="s">
        <v>3</v>
      </c>
      <c r="R2" t="s">
        <v>5</v>
      </c>
      <c r="S2" t="s">
        <v>3</v>
      </c>
    </row>
    <row r="3" spans="1:21" x14ac:dyDescent="0.2">
      <c r="A3" t="s">
        <v>291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</row>
    <row r="4" spans="1:21" x14ac:dyDescent="0.2">
      <c r="A4" t="s">
        <v>290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s="8" t="s">
        <v>5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5</v>
      </c>
      <c r="S4" t="s">
        <v>3</v>
      </c>
      <c r="T4" t="s">
        <v>3</v>
      </c>
      <c r="U4" t="s">
        <v>3</v>
      </c>
    </row>
    <row r="5" spans="1:21" x14ac:dyDescent="0.2">
      <c r="A5" t="s">
        <v>289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5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5</v>
      </c>
    </row>
    <row r="6" spans="1:21" x14ac:dyDescent="0.2">
      <c r="A6" t="s">
        <v>288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5</v>
      </c>
      <c r="T6" t="s">
        <v>3</v>
      </c>
      <c r="U6" t="s">
        <v>3</v>
      </c>
    </row>
    <row r="7" spans="1:21" x14ac:dyDescent="0.2">
      <c r="A7" t="s">
        <v>287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5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s="8" t="s">
        <v>5</v>
      </c>
      <c r="R7" t="s">
        <v>5</v>
      </c>
      <c r="S7" t="s">
        <v>3</v>
      </c>
      <c r="T7" t="s">
        <v>3</v>
      </c>
      <c r="U7" t="s">
        <v>3</v>
      </c>
    </row>
    <row r="8" spans="1:21" x14ac:dyDescent="0.2">
      <c r="A8" t="s">
        <v>286</v>
      </c>
      <c r="B8" t="s">
        <v>3</v>
      </c>
      <c r="C8" s="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</row>
    <row r="9" spans="1:21" x14ac:dyDescent="0.2">
      <c r="A9" t="s">
        <v>285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</row>
    <row r="10" spans="1:21" x14ac:dyDescent="0.2">
      <c r="A10" t="s">
        <v>284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s="8" t="s">
        <v>3</v>
      </c>
    </row>
    <row r="11" spans="1:21" x14ac:dyDescent="0.2">
      <c r="A11" t="s">
        <v>283</v>
      </c>
      <c r="B11" t="s">
        <v>3</v>
      </c>
      <c r="C11" t="s">
        <v>3</v>
      </c>
      <c r="D11" t="s">
        <v>5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5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</row>
    <row r="12" spans="1:21" x14ac:dyDescent="0.2">
      <c r="A12" s="10" t="s">
        <v>286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11" t="s">
        <v>3</v>
      </c>
      <c r="N12" s="11" t="s">
        <v>3</v>
      </c>
      <c r="O12" s="11" t="s">
        <v>3</v>
      </c>
      <c r="P12" s="11" t="s">
        <v>3</v>
      </c>
      <c r="Q12" s="11" t="s">
        <v>3</v>
      </c>
      <c r="R12" s="11" t="s">
        <v>3</v>
      </c>
      <c r="S12" s="11" t="s">
        <v>3</v>
      </c>
      <c r="T12" s="11" t="s">
        <v>3</v>
      </c>
      <c r="U12" s="11" t="s">
        <v>3</v>
      </c>
    </row>
    <row r="13" spans="1:21" x14ac:dyDescent="0.2">
      <c r="A13" s="10" t="s">
        <v>198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5</v>
      </c>
      <c r="H13" t="s">
        <v>3</v>
      </c>
      <c r="I13" t="s">
        <v>3</v>
      </c>
      <c r="J13" t="s">
        <v>4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s="8" t="s">
        <v>4</v>
      </c>
      <c r="R13" s="8" t="s">
        <v>4</v>
      </c>
      <c r="S13" s="8" t="s">
        <v>4</v>
      </c>
      <c r="T13" t="s">
        <v>3</v>
      </c>
      <c r="U13" t="s">
        <v>3</v>
      </c>
    </row>
    <row r="14" spans="1:21" x14ac:dyDescent="0.2">
      <c r="A14" s="10" t="s">
        <v>184</v>
      </c>
      <c r="B14" t="s">
        <v>3</v>
      </c>
      <c r="C14" t="s">
        <v>3</v>
      </c>
      <c r="D14" t="s">
        <v>3</v>
      </c>
      <c r="E14" t="s">
        <v>3</v>
      </c>
      <c r="F14" t="s">
        <v>4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3</v>
      </c>
      <c r="M14" t="s">
        <v>3</v>
      </c>
      <c r="N14" t="s">
        <v>3</v>
      </c>
      <c r="O14" s="8" t="s">
        <v>3</v>
      </c>
      <c r="P14" t="s">
        <v>3</v>
      </c>
      <c r="Q14" t="s">
        <v>3</v>
      </c>
      <c r="R14" t="s">
        <v>5</v>
      </c>
      <c r="S14" t="s">
        <v>3</v>
      </c>
      <c r="T14" t="s">
        <v>4</v>
      </c>
      <c r="U14" t="s">
        <v>3</v>
      </c>
    </row>
    <row r="15" spans="1:21" x14ac:dyDescent="0.2">
      <c r="A15" s="10" t="s">
        <v>152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s="8" t="s">
        <v>4</v>
      </c>
      <c r="K15" t="s">
        <v>3</v>
      </c>
      <c r="L15" s="8" t="s">
        <v>4</v>
      </c>
      <c r="M15" t="s">
        <v>4</v>
      </c>
      <c r="N15" t="s">
        <v>5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</row>
    <row r="16" spans="1:21" x14ac:dyDescent="0.2">
      <c r="A16" s="15" t="s">
        <v>88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5</v>
      </c>
      <c r="O16" t="s">
        <v>3</v>
      </c>
      <c r="P16" t="s">
        <v>3</v>
      </c>
      <c r="Q16" t="s">
        <v>3</v>
      </c>
      <c r="R16" t="s">
        <v>3</v>
      </c>
      <c r="S16" t="s">
        <v>4</v>
      </c>
      <c r="T16" t="s">
        <v>3</v>
      </c>
      <c r="U16" t="s">
        <v>3</v>
      </c>
    </row>
    <row r="17" spans="1:21" x14ac:dyDescent="0.2">
      <c r="A17" s="15" t="s">
        <v>95</v>
      </c>
      <c r="B17" s="8" t="s">
        <v>6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</row>
    <row r="18" spans="1:21" x14ac:dyDescent="0.2">
      <c r="A18" s="15" t="s">
        <v>221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</row>
    <row r="19" spans="1:21" x14ac:dyDescent="0.2">
      <c r="A19" s="15" t="s">
        <v>243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s="8" t="s">
        <v>5</v>
      </c>
      <c r="N19" t="s">
        <v>3</v>
      </c>
      <c r="O19" t="s">
        <v>3</v>
      </c>
      <c r="P19" t="s">
        <v>5</v>
      </c>
      <c r="Q19" t="s">
        <v>5</v>
      </c>
      <c r="R19" t="s">
        <v>3</v>
      </c>
      <c r="S19" t="s">
        <v>3</v>
      </c>
      <c r="T19" t="s">
        <v>3</v>
      </c>
      <c r="U19" t="s">
        <v>3</v>
      </c>
    </row>
    <row r="20" spans="1:21" x14ac:dyDescent="0.2">
      <c r="A20" s="15" t="s">
        <v>204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5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5</v>
      </c>
      <c r="P20" t="s">
        <v>3</v>
      </c>
      <c r="Q20" t="s">
        <v>3</v>
      </c>
      <c r="R20" t="s">
        <v>3</v>
      </c>
    </row>
    <row r="21" spans="1:21" x14ac:dyDescent="0.2">
      <c r="A21" s="15" t="s">
        <v>239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4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5</v>
      </c>
      <c r="T21" t="s">
        <v>3</v>
      </c>
      <c r="U21" t="s">
        <v>3</v>
      </c>
    </row>
    <row r="22" spans="1:21" x14ac:dyDescent="0.2">
      <c r="A22" s="15" t="s">
        <v>70</v>
      </c>
      <c r="B22" t="s">
        <v>3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s="8" t="s">
        <v>6</v>
      </c>
      <c r="R22" t="s">
        <v>3</v>
      </c>
      <c r="S22" t="s">
        <v>3</v>
      </c>
      <c r="T22" s="8" t="s">
        <v>6</v>
      </c>
      <c r="U22" s="8" t="s">
        <v>6</v>
      </c>
    </row>
    <row r="23" spans="1:21" x14ac:dyDescent="0.2">
      <c r="A23" s="15" t="s">
        <v>92</v>
      </c>
      <c r="B23" t="s">
        <v>4</v>
      </c>
      <c r="C23" t="s">
        <v>3</v>
      </c>
      <c r="D23" t="s">
        <v>3</v>
      </c>
      <c r="E23" t="s">
        <v>3</v>
      </c>
      <c r="F23" t="s">
        <v>3</v>
      </c>
      <c r="G23" t="s">
        <v>5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</row>
    <row r="24" spans="1:21" x14ac:dyDescent="0.2">
      <c r="A24" s="15" t="s">
        <v>217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4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</row>
    <row r="25" spans="1:21" x14ac:dyDescent="0.2">
      <c r="A25" s="15" t="s">
        <v>276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</row>
    <row r="26" spans="1:21" x14ac:dyDescent="0.2">
      <c r="A26" s="15" t="s">
        <v>257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s="8" t="s">
        <v>4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</row>
    <row r="27" spans="1:21" x14ac:dyDescent="0.2">
      <c r="A27" s="15" t="s">
        <v>33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s="8" t="s">
        <v>6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</row>
    <row r="28" spans="1:21" x14ac:dyDescent="0.2">
      <c r="A28" s="15" t="s">
        <v>125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8321-3BCC-4E4E-977D-8949BD5C6F43}">
  <dimension ref="A1:U46"/>
  <sheetViews>
    <sheetView tabSelected="1" topLeftCell="A7" workbookViewId="0">
      <selection activeCell="C47" sqref="C47"/>
    </sheetView>
  </sheetViews>
  <sheetFormatPr baseColWidth="10" defaultRowHeight="16" x14ac:dyDescent="0.2"/>
  <cols>
    <col min="1" max="1" width="35.6640625" bestFit="1" customWidth="1"/>
  </cols>
  <sheetData>
    <row r="1" spans="1:21" x14ac:dyDescent="0.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</row>
    <row r="2" spans="1:21" x14ac:dyDescent="0.2">
      <c r="A2" t="s">
        <v>292</v>
      </c>
      <c r="B2" t="s">
        <v>3</v>
      </c>
      <c r="C2" t="s">
        <v>3</v>
      </c>
      <c r="D2" t="s">
        <v>3</v>
      </c>
      <c r="E2" s="8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3</v>
      </c>
      <c r="P2" t="s">
        <v>3</v>
      </c>
      <c r="Q2" t="s">
        <v>3</v>
      </c>
      <c r="R2" t="s">
        <v>5</v>
      </c>
      <c r="S2" t="s">
        <v>3</v>
      </c>
    </row>
    <row r="3" spans="1:21" x14ac:dyDescent="0.2">
      <c r="A3" t="s">
        <v>291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</row>
    <row r="4" spans="1:21" x14ac:dyDescent="0.2">
      <c r="A4" t="s">
        <v>290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s="8" t="s">
        <v>5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5</v>
      </c>
      <c r="S4" t="s">
        <v>3</v>
      </c>
      <c r="T4" t="s">
        <v>3</v>
      </c>
      <c r="U4" t="s">
        <v>3</v>
      </c>
    </row>
    <row r="5" spans="1:21" x14ac:dyDescent="0.2">
      <c r="A5" t="s">
        <v>289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5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5</v>
      </c>
    </row>
    <row r="6" spans="1:21" x14ac:dyDescent="0.2">
      <c r="A6" t="s">
        <v>288</v>
      </c>
      <c r="B6" t="s">
        <v>3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5</v>
      </c>
      <c r="T6" t="s">
        <v>3</v>
      </c>
      <c r="U6" t="s">
        <v>3</v>
      </c>
    </row>
    <row r="7" spans="1:21" x14ac:dyDescent="0.2">
      <c r="A7" t="s">
        <v>287</v>
      </c>
      <c r="B7" t="s">
        <v>3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5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3</v>
      </c>
      <c r="O7" t="s">
        <v>3</v>
      </c>
      <c r="P7" t="s">
        <v>3</v>
      </c>
      <c r="Q7" s="8" t="s">
        <v>5</v>
      </c>
      <c r="R7" t="s">
        <v>5</v>
      </c>
      <c r="S7" t="s">
        <v>3</v>
      </c>
      <c r="T7" t="s">
        <v>3</v>
      </c>
      <c r="U7" t="s">
        <v>3</v>
      </c>
    </row>
    <row r="8" spans="1:21" x14ac:dyDescent="0.2">
      <c r="A8" t="s">
        <v>286</v>
      </c>
      <c r="B8" t="s">
        <v>3</v>
      </c>
      <c r="C8" s="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</row>
    <row r="9" spans="1:21" x14ac:dyDescent="0.2">
      <c r="A9" t="s">
        <v>285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</row>
    <row r="10" spans="1:21" x14ac:dyDescent="0.2">
      <c r="A10" t="s">
        <v>284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s="8" t="s">
        <v>3</v>
      </c>
    </row>
    <row r="11" spans="1:21" x14ac:dyDescent="0.2">
      <c r="A11" t="s">
        <v>283</v>
      </c>
      <c r="B11" t="s">
        <v>3</v>
      </c>
      <c r="C11" t="s">
        <v>3</v>
      </c>
      <c r="D11" t="s">
        <v>5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5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</row>
    <row r="12" spans="1:21" x14ac:dyDescent="0.2">
      <c r="A12" s="10" t="s">
        <v>286</v>
      </c>
      <c r="B12" s="11" t="s">
        <v>3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11" t="s">
        <v>3</v>
      </c>
      <c r="N12" s="11" t="s">
        <v>3</v>
      </c>
      <c r="O12" s="11" t="s">
        <v>3</v>
      </c>
      <c r="P12" s="11" t="s">
        <v>3</v>
      </c>
      <c r="Q12" s="11" t="s">
        <v>3</v>
      </c>
      <c r="R12" s="11" t="s">
        <v>3</v>
      </c>
      <c r="S12" s="11" t="s">
        <v>3</v>
      </c>
      <c r="T12" s="11" t="s">
        <v>3</v>
      </c>
      <c r="U12" s="11" t="s">
        <v>3</v>
      </c>
    </row>
    <row r="13" spans="1:21" x14ac:dyDescent="0.2">
      <c r="A13" s="10" t="s">
        <v>198</v>
      </c>
      <c r="B13" t="s">
        <v>3</v>
      </c>
      <c r="C13" t="s">
        <v>3</v>
      </c>
      <c r="D13" t="s">
        <v>3</v>
      </c>
      <c r="E13" t="s">
        <v>3</v>
      </c>
      <c r="F13" t="s">
        <v>3</v>
      </c>
      <c r="G13" t="s">
        <v>5</v>
      </c>
      <c r="H13" t="s">
        <v>3</v>
      </c>
      <c r="I13" t="s">
        <v>3</v>
      </c>
      <c r="J13" t="s">
        <v>4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s="8" t="s">
        <v>4</v>
      </c>
      <c r="R13" s="8" t="s">
        <v>4</v>
      </c>
      <c r="S13" s="8" t="s">
        <v>4</v>
      </c>
      <c r="T13" t="s">
        <v>3</v>
      </c>
      <c r="U13" t="s">
        <v>3</v>
      </c>
    </row>
    <row r="14" spans="1:21" x14ac:dyDescent="0.2">
      <c r="A14" s="10" t="s">
        <v>184</v>
      </c>
      <c r="B14" t="s">
        <v>3</v>
      </c>
      <c r="C14" t="s">
        <v>3</v>
      </c>
      <c r="D14" t="s">
        <v>3</v>
      </c>
      <c r="E14" t="s">
        <v>3</v>
      </c>
      <c r="F14" t="s">
        <v>4</v>
      </c>
      <c r="G14" t="s">
        <v>3</v>
      </c>
      <c r="H14" t="s">
        <v>3</v>
      </c>
      <c r="I14" t="s">
        <v>3</v>
      </c>
      <c r="J14" t="s">
        <v>3</v>
      </c>
      <c r="K14" t="s">
        <v>4</v>
      </c>
      <c r="L14" t="s">
        <v>3</v>
      </c>
      <c r="M14" t="s">
        <v>3</v>
      </c>
      <c r="N14" t="s">
        <v>3</v>
      </c>
      <c r="O14" s="8" t="s">
        <v>3</v>
      </c>
      <c r="P14" t="s">
        <v>3</v>
      </c>
      <c r="Q14" t="s">
        <v>3</v>
      </c>
      <c r="R14" t="s">
        <v>5</v>
      </c>
      <c r="S14" t="s">
        <v>3</v>
      </c>
      <c r="T14" t="s">
        <v>4</v>
      </c>
      <c r="U14" t="s">
        <v>3</v>
      </c>
    </row>
    <row r="15" spans="1:21" x14ac:dyDescent="0.2">
      <c r="A15" s="10" t="s">
        <v>152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s="8" t="s">
        <v>4</v>
      </c>
      <c r="K15" t="s">
        <v>3</v>
      </c>
      <c r="L15" s="8" t="s">
        <v>4</v>
      </c>
      <c r="M15" t="s">
        <v>4</v>
      </c>
      <c r="N15" t="s">
        <v>5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</row>
    <row r="16" spans="1:21" x14ac:dyDescent="0.2">
      <c r="A16" s="15" t="s">
        <v>88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5</v>
      </c>
      <c r="O16" t="s">
        <v>3</v>
      </c>
      <c r="P16" t="s">
        <v>3</v>
      </c>
      <c r="Q16" t="s">
        <v>3</v>
      </c>
      <c r="R16" t="s">
        <v>3</v>
      </c>
      <c r="S16" t="s">
        <v>4</v>
      </c>
      <c r="T16" t="s">
        <v>3</v>
      </c>
      <c r="U16" t="s">
        <v>3</v>
      </c>
    </row>
    <row r="17" spans="1:21" x14ac:dyDescent="0.2">
      <c r="A17" s="15" t="s">
        <v>95</v>
      </c>
      <c r="B17" s="8" t="s">
        <v>6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</row>
    <row r="18" spans="1:21" x14ac:dyDescent="0.2">
      <c r="A18" s="15" t="s">
        <v>221</v>
      </c>
      <c r="B18" t="s">
        <v>3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3</v>
      </c>
      <c r="N18" t="s">
        <v>3</v>
      </c>
      <c r="O18" t="s">
        <v>3</v>
      </c>
      <c r="P18" t="s">
        <v>3</v>
      </c>
      <c r="Q18" t="s">
        <v>3</v>
      </c>
      <c r="R18" t="s">
        <v>3</v>
      </c>
      <c r="S18" t="s">
        <v>3</v>
      </c>
      <c r="T18" t="s">
        <v>3</v>
      </c>
      <c r="U18" t="s">
        <v>3</v>
      </c>
    </row>
    <row r="19" spans="1:21" x14ac:dyDescent="0.2">
      <c r="A19" s="15" t="s">
        <v>243</v>
      </c>
      <c r="B19" t="s">
        <v>3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s="8" t="s">
        <v>5</v>
      </c>
      <c r="N19" t="s">
        <v>3</v>
      </c>
      <c r="O19" t="s">
        <v>3</v>
      </c>
      <c r="P19" t="s">
        <v>5</v>
      </c>
      <c r="Q19" t="s">
        <v>5</v>
      </c>
      <c r="R19" t="s">
        <v>3</v>
      </c>
      <c r="S19" t="s">
        <v>3</v>
      </c>
      <c r="T19" t="s">
        <v>3</v>
      </c>
      <c r="U19" t="s">
        <v>3</v>
      </c>
    </row>
    <row r="20" spans="1:21" x14ac:dyDescent="0.2">
      <c r="A20" s="15" t="s">
        <v>204</v>
      </c>
      <c r="B20" t="s">
        <v>3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5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5</v>
      </c>
      <c r="P20" t="s">
        <v>3</v>
      </c>
      <c r="Q20" t="s">
        <v>3</v>
      </c>
      <c r="R20" t="s">
        <v>3</v>
      </c>
    </row>
    <row r="21" spans="1:21" x14ac:dyDescent="0.2">
      <c r="A21" s="15" t="s">
        <v>239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4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5</v>
      </c>
      <c r="T21" t="s">
        <v>3</v>
      </c>
      <c r="U21" t="s">
        <v>3</v>
      </c>
    </row>
    <row r="22" spans="1:21" x14ac:dyDescent="0.2">
      <c r="A22" s="15" t="s">
        <v>70</v>
      </c>
      <c r="B22" t="s">
        <v>3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</v>
      </c>
      <c r="P22" t="s">
        <v>3</v>
      </c>
      <c r="Q22" s="8" t="s">
        <v>6</v>
      </c>
      <c r="R22" t="s">
        <v>3</v>
      </c>
      <c r="S22" t="s">
        <v>3</v>
      </c>
      <c r="T22" s="8" t="s">
        <v>6</v>
      </c>
      <c r="U22" s="8" t="s">
        <v>6</v>
      </c>
    </row>
    <row r="23" spans="1:21" x14ac:dyDescent="0.2">
      <c r="A23" s="15" t="s">
        <v>92</v>
      </c>
      <c r="B23" t="s">
        <v>4</v>
      </c>
      <c r="C23" t="s">
        <v>3</v>
      </c>
      <c r="D23" t="s">
        <v>3</v>
      </c>
      <c r="E23" t="s">
        <v>3</v>
      </c>
      <c r="F23" t="s">
        <v>3</v>
      </c>
      <c r="G23" t="s">
        <v>5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</row>
    <row r="24" spans="1:21" x14ac:dyDescent="0.2">
      <c r="A24" s="15" t="s">
        <v>217</v>
      </c>
      <c r="B24" t="s">
        <v>3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4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</row>
    <row r="25" spans="1:21" x14ac:dyDescent="0.2">
      <c r="A25" s="15" t="s">
        <v>276</v>
      </c>
      <c r="B25" t="s">
        <v>3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3</v>
      </c>
      <c r="O25" t="s">
        <v>3</v>
      </c>
      <c r="P25" t="s">
        <v>3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</row>
    <row r="26" spans="1:21" x14ac:dyDescent="0.2">
      <c r="A26" s="15" t="s">
        <v>257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s="8" t="s">
        <v>4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</row>
    <row r="27" spans="1:21" x14ac:dyDescent="0.2">
      <c r="A27" s="15" t="s">
        <v>33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s="8" t="s">
        <v>6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</row>
    <row r="28" spans="1:21" x14ac:dyDescent="0.2">
      <c r="A28" s="15" t="s">
        <v>125</v>
      </c>
      <c r="B28" t="s">
        <v>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</row>
    <row r="29" spans="1:21" x14ac:dyDescent="0.2">
      <c r="A29" s="10" t="s">
        <v>286</v>
      </c>
      <c r="B29" s="11" t="s">
        <v>3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11" t="s">
        <v>3</v>
      </c>
      <c r="N29" s="11" t="s">
        <v>3</v>
      </c>
      <c r="O29" s="11" t="s">
        <v>3</v>
      </c>
      <c r="P29" s="11" t="s">
        <v>3</v>
      </c>
      <c r="Q29" s="11" t="s">
        <v>3</v>
      </c>
      <c r="R29" s="11" t="s">
        <v>3</v>
      </c>
      <c r="S29" s="11" t="s">
        <v>3</v>
      </c>
      <c r="T29" s="11" t="s">
        <v>3</v>
      </c>
      <c r="U29" s="11" t="s">
        <v>3</v>
      </c>
    </row>
    <row r="30" spans="1:21" x14ac:dyDescent="0.2">
      <c r="A30" s="10" t="s">
        <v>198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5</v>
      </c>
      <c r="H30" t="s">
        <v>3</v>
      </c>
      <c r="I30" t="s">
        <v>3</v>
      </c>
      <c r="J30" t="s">
        <v>4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s="8" t="s">
        <v>4</v>
      </c>
      <c r="R30" s="8" t="s">
        <v>4</v>
      </c>
      <c r="S30" s="8" t="s">
        <v>4</v>
      </c>
      <c r="T30" t="s">
        <v>3</v>
      </c>
      <c r="U30" t="s">
        <v>3</v>
      </c>
    </row>
    <row r="31" spans="1:21" x14ac:dyDescent="0.2">
      <c r="A31" s="10" t="s">
        <v>184</v>
      </c>
      <c r="B31" t="s">
        <v>3</v>
      </c>
      <c r="C31" t="s">
        <v>3</v>
      </c>
      <c r="D31" t="s">
        <v>3</v>
      </c>
      <c r="E31" t="s">
        <v>3</v>
      </c>
      <c r="F31" t="s">
        <v>4</v>
      </c>
      <c r="G31" t="s">
        <v>3</v>
      </c>
      <c r="H31" t="s">
        <v>3</v>
      </c>
      <c r="I31" t="s">
        <v>3</v>
      </c>
      <c r="J31" t="s">
        <v>3</v>
      </c>
      <c r="K31" t="s">
        <v>4</v>
      </c>
      <c r="L31" t="s">
        <v>3</v>
      </c>
      <c r="M31" t="s">
        <v>3</v>
      </c>
      <c r="N31" t="s">
        <v>3</v>
      </c>
      <c r="O31" s="8" t="s">
        <v>3</v>
      </c>
      <c r="P31" t="s">
        <v>3</v>
      </c>
      <c r="Q31" t="s">
        <v>3</v>
      </c>
      <c r="R31" t="s">
        <v>5</v>
      </c>
      <c r="S31" t="s">
        <v>3</v>
      </c>
      <c r="T31" t="s">
        <v>4</v>
      </c>
      <c r="U31" t="s">
        <v>3</v>
      </c>
    </row>
    <row r="32" spans="1:21" x14ac:dyDescent="0.2">
      <c r="A32" s="10" t="s">
        <v>152</v>
      </c>
      <c r="B32" t="s">
        <v>3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s="8" t="s">
        <v>4</v>
      </c>
      <c r="K32" t="s">
        <v>3</v>
      </c>
      <c r="L32" s="8" t="s">
        <v>4</v>
      </c>
      <c r="M32" t="s">
        <v>4</v>
      </c>
      <c r="N32" t="s">
        <v>5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</row>
    <row r="33" spans="1:21" x14ac:dyDescent="0.2">
      <c r="A33" s="15" t="s">
        <v>88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5</v>
      </c>
      <c r="O33" t="s">
        <v>3</v>
      </c>
      <c r="P33" t="s">
        <v>3</v>
      </c>
      <c r="Q33" t="s">
        <v>3</v>
      </c>
      <c r="R33" t="s">
        <v>3</v>
      </c>
      <c r="S33" t="s">
        <v>4</v>
      </c>
      <c r="T33" t="s">
        <v>3</v>
      </c>
      <c r="U33" t="s">
        <v>3</v>
      </c>
    </row>
    <row r="34" spans="1:21" x14ac:dyDescent="0.2">
      <c r="A34" s="15" t="s">
        <v>95</v>
      </c>
      <c r="B34" s="8" t="s">
        <v>6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3</v>
      </c>
      <c r="O34" t="s">
        <v>3</v>
      </c>
      <c r="P34" t="s">
        <v>3</v>
      </c>
      <c r="Q34" t="s">
        <v>3</v>
      </c>
      <c r="R34" t="s">
        <v>3</v>
      </c>
      <c r="S34" t="s">
        <v>3</v>
      </c>
      <c r="T34" t="s">
        <v>3</v>
      </c>
      <c r="U34" t="s">
        <v>3</v>
      </c>
    </row>
    <row r="35" spans="1:21" x14ac:dyDescent="0.2">
      <c r="A35" s="15" t="s">
        <v>221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3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3</v>
      </c>
      <c r="U35" t="s">
        <v>3</v>
      </c>
    </row>
    <row r="36" spans="1:21" x14ac:dyDescent="0.2">
      <c r="A36" s="15" t="s">
        <v>243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s="8" t="s">
        <v>5</v>
      </c>
      <c r="N36" t="s">
        <v>3</v>
      </c>
      <c r="O36" t="s">
        <v>3</v>
      </c>
      <c r="P36" t="s">
        <v>5</v>
      </c>
      <c r="Q36" t="s">
        <v>5</v>
      </c>
      <c r="R36" t="s">
        <v>3</v>
      </c>
      <c r="S36" t="s">
        <v>3</v>
      </c>
      <c r="T36" t="s">
        <v>3</v>
      </c>
      <c r="U36" t="s">
        <v>3</v>
      </c>
    </row>
    <row r="37" spans="1:21" x14ac:dyDescent="0.2">
      <c r="A37" s="15" t="s">
        <v>49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</row>
    <row r="38" spans="1:21" x14ac:dyDescent="0.2">
      <c r="A38" s="15" t="s">
        <v>217</v>
      </c>
      <c r="B38" t="s">
        <v>3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4</v>
      </c>
      <c r="L38" t="s">
        <v>3</v>
      </c>
      <c r="M38" t="s">
        <v>3</v>
      </c>
      <c r="N38" t="s">
        <v>3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</row>
    <row r="39" spans="1:21" x14ac:dyDescent="0.2">
      <c r="A39" s="15" t="s">
        <v>276</v>
      </c>
      <c r="B39" t="s">
        <v>3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</row>
    <row r="40" spans="1:21" x14ac:dyDescent="0.2">
      <c r="A40" s="15" t="s">
        <v>257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s="8" t="s">
        <v>4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</row>
    <row r="41" spans="1:21" x14ac:dyDescent="0.2">
      <c r="A41" s="15" t="s">
        <v>33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s="8" t="s">
        <v>6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3</v>
      </c>
    </row>
    <row r="42" spans="1:21" x14ac:dyDescent="0.2">
      <c r="A42" s="15" t="s">
        <v>125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</row>
    <row r="43" spans="1:21" x14ac:dyDescent="0.2">
      <c r="A43" s="15" t="s">
        <v>204</v>
      </c>
      <c r="B43" t="s">
        <v>3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5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5</v>
      </c>
      <c r="P43" t="s">
        <v>3</v>
      </c>
      <c r="Q43" t="s">
        <v>3</v>
      </c>
      <c r="R43" t="s">
        <v>3</v>
      </c>
    </row>
    <row r="44" spans="1:21" x14ac:dyDescent="0.2">
      <c r="A44" s="15" t="s">
        <v>239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4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5</v>
      </c>
      <c r="T44" t="s">
        <v>3</v>
      </c>
      <c r="U44" t="s">
        <v>3</v>
      </c>
    </row>
    <row r="45" spans="1:21" x14ac:dyDescent="0.2">
      <c r="A45" s="15" t="s">
        <v>70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s="8" t="s">
        <v>6</v>
      </c>
      <c r="R45" t="s">
        <v>3</v>
      </c>
      <c r="S45" t="s">
        <v>3</v>
      </c>
      <c r="T45" s="8" t="s">
        <v>6</v>
      </c>
      <c r="U45" s="8" t="s">
        <v>6</v>
      </c>
    </row>
    <row r="46" spans="1:21" x14ac:dyDescent="0.2">
      <c r="A46" s="15" t="s">
        <v>92</v>
      </c>
      <c r="B46" t="s">
        <v>4</v>
      </c>
      <c r="C46" t="s">
        <v>3</v>
      </c>
      <c r="D46" t="s">
        <v>3</v>
      </c>
      <c r="E46" t="s">
        <v>3</v>
      </c>
      <c r="F46" t="s">
        <v>3</v>
      </c>
      <c r="G46" t="s">
        <v>5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evaluation</vt:lpstr>
      <vt:lpstr>Sheet1</vt:lpstr>
      <vt:lpstr>10 DOIs &lt; 60%</vt:lpstr>
      <vt:lpstr>random   80, 90)</vt:lpstr>
      <vt:lpstr>random  60,80)</vt:lpstr>
      <vt:lpstr>random ==90</vt:lpstr>
      <vt:lpstr>Sheet2</vt:lpstr>
      <vt:lpstr>Sheet3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 Aljohani</dc:creator>
  <cp:lastModifiedBy>dongrong fu</cp:lastModifiedBy>
  <dcterms:created xsi:type="dcterms:W3CDTF">2024-03-13T23:20:43Z</dcterms:created>
  <dcterms:modified xsi:type="dcterms:W3CDTF">2026-02-16T05:07:30Z</dcterms:modified>
</cp:coreProperties>
</file>